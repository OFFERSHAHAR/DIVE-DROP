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כל העסקות" sheetId="1" state="visible" r:id="rId3"/>
    <sheet name="ניתוח חודשי" sheetId="2" state="visible" r:id="rId4"/>
    <sheet name="הוראות קבע" sheetId="3" state="visible" r:id="rId5"/>
    <sheet name="העברות נכנסות" sheetId="4" state="visible" r:id="rId6"/>
    <sheet name="העברות יוצאות" sheetId="5" state="visible" r:id="rId7"/>
    <sheet name="סיכום העברות לפי גורם" sheetId="6" state="visible" r:id="rId8"/>
    <sheet name="משכורות" sheetId="7" state="visible" r:id="rId9"/>
    <sheet name="צ'קים" sheetId="8" state="visible" r:id="rId10"/>
    <sheet name="עמלות" sheetId="9" state="visible" r:id="rId11"/>
    <sheet name="דגלים אדומים" sheetId="10" state="visible" r:id="rId12"/>
    <sheet name="המלצות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<sst xmlns="http://schemas.openxmlformats.org/spreadsheetml/2006/main" count="527" uniqueCount="209">
  <si>
    <t xml:space="preserve">כל העסקות — חשבון 12-644-317398</t>
  </si>
  <si>
    <t xml:space="preserve">תאריך הפקה: 18.06.2026 | סה"כ 42 עסקאות</t>
  </si>
  <si>
    <t xml:space="preserve">תאריך</t>
  </si>
  <si>
    <t xml:space="preserve">הפעולה</t>
  </si>
  <si>
    <t xml:space="preserve">פרטים</t>
  </si>
  <si>
    <t xml:space="preserve">אסמכתא</t>
  </si>
  <si>
    <t xml:space="preserve">חובה ₪</t>
  </si>
  <si>
    <t xml:space="preserve">זכות ₪</t>
  </si>
  <si>
    <t xml:space="preserve">יתרה ₪</t>
  </si>
  <si>
    <t xml:space="preserve">תאריך ערך</t>
  </si>
  <si>
    <t xml:space="preserve">לטובת</t>
  </si>
  <si>
    <t xml:space="preserve">עבור</t>
  </si>
  <si>
    <t xml:space="preserve">קטגוריה</t>
  </si>
  <si>
    <t xml:space="preserve">19/05/2026</t>
  </si>
  <si>
    <t xml:space="preserve">דירקט- מצטבר</t>
  </si>
  <si>
    <t xml:space="preserve">4935</t>
  </si>
  <si>
    <t xml:space="preserve">כרטיס אשראי</t>
  </si>
  <si>
    <t xml:space="preserve">21/05/2026</t>
  </si>
  <si>
    <t xml:space="preserve">25/05/2026</t>
  </si>
  <si>
    <t xml:space="preserve">מימוש עיקול לק</t>
  </si>
  <si>
    <t xml:space="preserve">לטובת: המרכז לגביית קנסות ואגרו עבור: תיק: 00886180373 - הליך: 000000000</t>
  </si>
  <si>
    <t xml:space="preserve">3553818</t>
  </si>
  <si>
    <t xml:space="preserve">המרכז לגביית קנסות ואגרו</t>
  </si>
  <si>
    <t xml:space="preserve">תיק: 00886180373 - הליך: 000000000</t>
  </si>
  <si>
    <t xml:space="preserve">עיקול</t>
  </si>
  <si>
    <t xml:space="preserve">ביטוח לאומי ג"</t>
  </si>
  <si>
    <t xml:space="preserve">  עבור: שחר עופר            מזהה 039076914</t>
  </si>
  <si>
    <t xml:space="preserve">60697083</t>
  </si>
  <si>
    <t xml:space="preserve">שחר עופר            מזהה 039076914</t>
  </si>
  <si>
    <t xml:space="preserve">ביטוח לאומי</t>
  </si>
  <si>
    <t xml:space="preserve">bit העברת כסף</t>
  </si>
  <si>
    <t xml:space="preserve">המבצע: עופר שחר עבור: משיכה לחשבון הבנק</t>
  </si>
  <si>
    <t xml:space="preserve">1078433269381</t>
  </si>
  <si>
    <t xml:space="preserve">עופר שחר</t>
  </si>
  <si>
    <t xml:space="preserve">משיכה לחשבון הבנק</t>
  </si>
  <si>
    <t xml:space="preserve">העברה נכנסת</t>
  </si>
  <si>
    <t xml:space="preserve">העברה-נייד</t>
  </si>
  <si>
    <t xml:space="preserve">המבצע: שליט אלדד    12-644-57754</t>
  </si>
  <si>
    <t xml:space="preserve">460917494</t>
  </si>
  <si>
    <t xml:space="preserve">שליט אלדד</t>
  </si>
  <si>
    <t xml:space="preserve">26/05/2026</t>
  </si>
  <si>
    <t xml:space="preserve">משיכה מבנקט</t>
  </si>
  <si>
    <t xml:space="preserve">משיכת מזומן</t>
  </si>
  <si>
    <t xml:space="preserve">27/05/2026</t>
  </si>
  <si>
    <t xml:space="preserve">28/05/2026</t>
  </si>
  <si>
    <t xml:space="preserve">29/05/2026</t>
  </si>
  <si>
    <t xml:space="preserve">31/05/2026</t>
  </si>
  <si>
    <t xml:space="preserve">עיריית אילת מס</t>
  </si>
  <si>
    <t xml:space="preserve">233551</t>
  </si>
  <si>
    <t xml:space="preserve">הוראת קבע</t>
  </si>
  <si>
    <t xml:space="preserve">01/06/2026</t>
  </si>
  <si>
    <t xml:space="preserve">02/06/2026</t>
  </si>
  <si>
    <t xml:space="preserve">משרד הבינוי וה</t>
  </si>
  <si>
    <t xml:space="preserve">  עבור: עופר שחר            מזהה 039076914</t>
  </si>
  <si>
    <t xml:space="preserve">83378281</t>
  </si>
  <si>
    <t xml:space="preserve">עופר שחר            מזהה 039076914</t>
  </si>
  <si>
    <t xml:space="preserve">קצבה/מענק ממשלתי</t>
  </si>
  <si>
    <t xml:space="preserve">העברה/הפקדה</t>
  </si>
  <si>
    <t xml:space="preserve">המבצע: שליט אלדד עבור: משכורת  12-644-57754</t>
  </si>
  <si>
    <t xml:space="preserve">462345901</t>
  </si>
  <si>
    <t xml:space="preserve">משכורת</t>
  </si>
  <si>
    <t xml:space="preserve">03/06/2026</t>
  </si>
  <si>
    <t xml:space="preserve">שיק</t>
  </si>
  <si>
    <t xml:space="preserve">10013</t>
  </si>
  <si>
    <t xml:space="preserve">צ'ק</t>
  </si>
  <si>
    <t xml:space="preserve">ע. מסלול מורחב</t>
  </si>
  <si>
    <t xml:space="preserve">818</t>
  </si>
  <si>
    <t xml:space="preserve">עמלת בנק</t>
  </si>
  <si>
    <t xml:space="preserve">04/06/2026</t>
  </si>
  <si>
    <t xml:space="preserve">החזרת שיק-טכני (תאריך ערך: 03/06)</t>
  </si>
  <si>
    <t xml:space="preserve"> סיבת החזרה:  נ.ה.ב - נתקבלה הוראת ביטול</t>
  </si>
  <si>
    <t xml:space="preserve">סיבת החזרה:</t>
  </si>
  <si>
    <t xml:space="preserve">נ.ה.ב - נתקבלה הוראת ביטול</t>
  </si>
  <si>
    <t xml:space="preserve">החזרת צ'ק</t>
  </si>
  <si>
    <t xml:space="preserve">05/06/2026</t>
  </si>
  <si>
    <t xml:space="preserve">07/06/2026</t>
  </si>
  <si>
    <t xml:space="preserve">בזק-הוראות קבע</t>
  </si>
  <si>
    <t xml:space="preserve">703991</t>
  </si>
  <si>
    <t xml:space="preserve">העב' לאחר-נייד</t>
  </si>
  <si>
    <t xml:space="preserve">לטובת: עליזה רצאבי עבור: שכירות לנבלה</t>
  </si>
  <si>
    <t xml:space="preserve">463229773</t>
  </si>
  <si>
    <t xml:space="preserve">עליזה רצאבי</t>
  </si>
  <si>
    <t xml:space="preserve">שכירות לנבלה</t>
  </si>
  <si>
    <t xml:space="preserve">העברה יוצאת</t>
  </si>
  <si>
    <t xml:space="preserve">08/06/2026</t>
  </si>
  <si>
    <t xml:space="preserve">הפק מזומן-בנקט</t>
  </si>
  <si>
    <t xml:space="preserve">הפקדת מזומן</t>
  </si>
  <si>
    <t xml:space="preserve">09/06/2026</t>
  </si>
  <si>
    <t xml:space="preserve">10/06/2026</t>
  </si>
  <si>
    <t xml:space="preserve">הוט מובייל בע"</t>
  </si>
  <si>
    <t xml:space="preserve">  עבור: רחש רפוע    מזהה 039076914</t>
  </si>
  <si>
    <t xml:space="preserve">36716702</t>
  </si>
  <si>
    <t xml:space="preserve">רחש רפוע    מזהה 039076914</t>
  </si>
  <si>
    <t xml:space="preserve">10025</t>
  </si>
  <si>
    <t xml:space="preserve">11/06/2026</t>
  </si>
  <si>
    <t xml:space="preserve">12/06/2026</t>
  </si>
  <si>
    <t xml:space="preserve">14/06/2026</t>
  </si>
  <si>
    <t xml:space="preserve">15/06/2026</t>
  </si>
  <si>
    <t xml:space="preserve">16/06/2026</t>
  </si>
  <si>
    <t xml:space="preserve">1078498610935</t>
  </si>
  <si>
    <t xml:space="preserve">17/06/2026</t>
  </si>
  <si>
    <t xml:space="preserve">דירקט</t>
  </si>
  <si>
    <t xml:space="preserve">העברה (תאריך ערך: 18/06)</t>
  </si>
  <si>
    <t xml:space="preserve">49350</t>
  </si>
  <si>
    <t xml:space="preserve">18/06/2026</t>
  </si>
  <si>
    <t xml:space="preserve">סה"כ</t>
  </si>
  <si>
    <t xml:space="preserve">ניתוח חודשי</t>
  </si>
  <si>
    <t xml:space="preserve">השוואת הכנסות, הוצאות ויתרה נטו לפי חודש</t>
  </si>
  <si>
    <t xml:space="preserve">חודש</t>
  </si>
  <si>
    <t xml:space="preserve">הכנסות ₪</t>
  </si>
  <si>
    <t xml:space="preserve">הוצאות ₪</t>
  </si>
  <si>
    <t xml:space="preserve">יתרה נטו ₪</t>
  </si>
  <si>
    <t xml:space="preserve">מספר עסקות</t>
  </si>
  <si>
    <t xml:space="preserve">הוצאות אשראי ₪</t>
  </si>
  <si>
    <t xml:space="preserve">הוצאות קבועות ₪</t>
  </si>
  <si>
    <t xml:space="preserve">העברות יוצאות ₪</t>
  </si>
  <si>
    <t xml:space="preserve">מאי 2026</t>
  </si>
  <si>
    <t xml:space="preserve">יוני 2026</t>
  </si>
  <si>
    <t xml:space="preserve">הוראות קבע</t>
  </si>
  <si>
    <t xml:space="preserve">פירוט כל הוראות הקבע בתקופה</t>
  </si>
  <si>
    <t xml:space="preserve">גוף מחייב</t>
  </si>
  <si>
    <t xml:space="preserve">סכום ₪</t>
  </si>
  <si>
    <t xml:space="preserve">סה"כ הוראות קבע</t>
  </si>
  <si>
    <t xml:space="preserve">העברות נכנסות</t>
  </si>
  <si>
    <t xml:space="preserve">כל הזיכויים והתקבולים</t>
  </si>
  <si>
    <t xml:space="preserve">סוג</t>
  </si>
  <si>
    <t xml:space="preserve">ממי/מקור</t>
  </si>
  <si>
    <t xml:space="preserve">מספר חשבון</t>
  </si>
  <si>
    <t xml:space="preserve">-57754</t>
  </si>
  <si>
    <t xml:space="preserve">סה"כ הכנסות</t>
  </si>
  <si>
    <t xml:space="preserve">העברות יוצאות</t>
  </si>
  <si>
    <t xml:space="preserve">כל החיובים שאינם אשראי</t>
  </si>
  <si>
    <t xml:space="preserve">למי/יעד</t>
  </si>
  <si>
    <t xml:space="preserve">סה"כ יוצאות</t>
  </si>
  <si>
    <t xml:space="preserve">סיכום העברות לפי גורם</t>
  </si>
  <si>
    <t xml:space="preserve">קיבוץ כל ההעברות לפי שם הגורם</t>
  </si>
  <si>
    <t xml:space="preserve">גורם</t>
  </si>
  <si>
    <t xml:space="preserve">סה"כ נכנס ₪</t>
  </si>
  <si>
    <t xml:space="preserve">סה"כ יוצא ₪</t>
  </si>
  <si>
    <t xml:space="preserve">משכורות ותשלומי שכר</t>
  </si>
  <si>
    <t xml:space="preserve">פירוט קבלת משכורת ותשלומי עבודה</t>
  </si>
  <si>
    <t xml:space="preserve">מעסיק/מקור</t>
  </si>
  <si>
    <t xml:space="preserve">חשבון מקור</t>
  </si>
  <si>
    <t xml:space="preserve">039076914</t>
  </si>
  <si>
    <t xml:space="preserve">12-644-57754</t>
  </si>
  <si>
    <t xml:space="preserve">צ'קים</t>
  </si>
  <si>
    <t xml:space="preserve">פירוט כל הצ'קים שנפרעו או חזרו</t>
  </si>
  <si>
    <t xml:space="preserve">מספר צ'ק</t>
  </si>
  <si>
    <t xml:space="preserve">תאריך הוצאה</t>
  </si>
  <si>
    <t xml:space="preserve">תאריך פירעון</t>
  </si>
  <si>
    <t xml:space="preserve">ייעוד</t>
  </si>
  <si>
    <t xml:space="preserve">סטטוס</t>
  </si>
  <si>
    <t xml:space="preserve">כללי</t>
  </si>
  <si>
    <t xml:space="preserve">❌ חזר</t>
  </si>
  <si>
    <t xml:space="preserve">—</t>
  </si>
  <si>
    <t xml:space="preserve">שכירות</t>
  </si>
  <si>
    <t xml:space="preserve">✅ נפרע</t>
  </si>
  <si>
    <t xml:space="preserve">עמלות בנק</t>
  </si>
  <si>
    <t xml:space="preserve">פירוט כל העמלות שנגבו</t>
  </si>
  <si>
    <t xml:space="preserve">סוג עמלה</t>
  </si>
  <si>
    <t xml:space="preserve">סה"כ עמלות</t>
  </si>
  <si>
    <t xml:space="preserve">⚠️ דגלים אדומים</t>
  </si>
  <si>
    <t xml:space="preserve">ממצאים הדורשים תשומת לב מיידית</t>
  </si>
  <si>
    <t xml:space="preserve">סוג דגל</t>
  </si>
  <si>
    <t xml:space="preserve">הסבר</t>
  </si>
  <si>
    <t xml:space="preserve">רמת חומרה</t>
  </si>
  <si>
    <t xml:space="preserve">מימוש עיקול</t>
  </si>
  <si>
    <t xml:space="preserve">מימוש עיקול ע"ס 6,940 ₪ ע"י המרכז לגביית קנסות — תיק 00886180373. זהו אירוע חמור!</t>
  </si>
  <si>
    <t xml:space="preserve">גבוה</t>
  </si>
  <si>
    <t xml:space="preserve">צ'ק חזר</t>
  </si>
  <si>
    <t xml:space="preserve">צ'ק מס' 10013 ע"ס 3,550 ₪ חזר עם סיבת החזרה: נ.ה.ב - נתקבלה הוראת ביטול. הצ'ק שוחרר ב-03/06 וחזר ב-04/06.</t>
  </si>
  <si>
    <t xml:space="preserve">יתרה שלילית</t>
  </si>
  <si>
    <t xml:space="preserve">יתרה שלילית שיא של 122.70- ₪ ביום 15/06/2026. פרק יתרה שלילית: 14-15/06/2026</t>
  </si>
  <si>
    <t xml:space="preserve">בינוני</t>
  </si>
  <si>
    <t xml:space="preserve">יתרה שלילית של 52.97- ₪ ביום 01/06/2026</t>
  </si>
  <si>
    <t xml:space="preserve">הוצאות כרטיס אשראי גבוהות</t>
  </si>
  <si>
    <t xml:space="preserve">ביום 17/06 נגבו 3 חיובי דירקט בסה"כ 1,054.56 ₪ ביום אחד</t>
  </si>
  <si>
    <t xml:space="preserve">נמוך</t>
  </si>
  <si>
    <t xml:space="preserve">💡 המלצות לניהול כלכלי</t>
  </si>
  <si>
    <t xml:space="preserve">על בסיס ניתוח תנועות החשבון</t>
  </si>
  <si>
    <t xml:space="preserve">מס'</t>
  </si>
  <si>
    <t xml:space="preserve">תחום</t>
  </si>
  <si>
    <t xml:space="preserve">חומרה</t>
  </si>
  <si>
    <t xml:space="preserve">המלצה</t>
  </si>
  <si>
    <t xml:space="preserve">פירוט</t>
  </si>
  <si>
    <t xml:space="preserve">1</t>
  </si>
  <si>
    <t xml:space="preserve">טיפול דחוף בחוב לרשות מוסמכת</t>
  </si>
  <si>
    <t xml:space="preserve">נמצא עיקול ע"ס 6,940 ₪. יש לפנות למרכז לגביית קנסות (תיק 00886180373) ולהסדיר את החוב מיידית למניעת עיקולים נוספים.</t>
  </si>
  <si>
    <t xml:space="preserve">2</t>
  </si>
  <si>
    <t xml:space="preserve">הימנעות מהוצאת צ'קים</t>
  </si>
  <si>
    <t xml:space="preserve">צ'ק 10013 חזר עם ביטול. שקול לעבור לתשלום בהעברה בנקאית. אם חייב להשתמש בצ'קים, ודא יתרה מספקת 3 ימים לפני מועד הפירעון.</t>
  </si>
  <si>
    <t xml:space="preserve">3</t>
  </si>
  <si>
    <t xml:space="preserve">יתרה</t>
  </si>
  <si>
    <t xml:space="preserve">שמירה על כרית ביטחון</t>
  </si>
  <si>
    <t xml:space="preserve">החשבון הגיע ל-122.70- ₪. יש לשמור על יתרה מינימלית של לפחות 2,000 ₪ בכל עת.</t>
  </si>
  <si>
    <t xml:space="preserve">4</t>
  </si>
  <si>
    <t xml:space="preserve">מעקב חיובי דירקט</t>
  </si>
  <si>
    <t xml:space="preserve">חיובי האשראי (דירקט) מפוזרים לאורך החודש ולא ניתן לזהות סכום מלא. מומלץ לבדוק את פירוט הדירקט ישירות אצל ישראכרט.</t>
  </si>
  <si>
    <t xml:space="preserve">5</t>
  </si>
  <si>
    <t xml:space="preserve">תזרים</t>
  </si>
  <si>
    <t xml:space="preserve">תכנון תזרים חודשי</t>
  </si>
  <si>
    <t xml:space="preserve">בשני החודשים הנבדקים נרשם גירעון קל. מומלץ להכין תקציב חודשי ולהתאים הוצאות לפי הכנסות צפויות.</t>
  </si>
  <si>
    <t xml:space="preserve">6</t>
  </si>
  <si>
    <t xml:space="preserve">בדיקת הוראות קבע</t>
  </si>
  <si>
    <t xml:space="preserve">הוראות קבע: בזק 95.76 ₪, הוט מובייל 39.9 ₪, עיריית אילת 54.3 ₪. מומלץ לבדוק אם כולן נחוצות ולנהל משא ומתן על הפחתה.</t>
  </si>
  <si>
    <t xml:space="preserve">7</t>
  </si>
  <si>
    <t xml:space="preserve">הפקדות</t>
  </si>
  <si>
    <t xml:space="preserve">הפקדות מזומן תכופות</t>
  </si>
  <si>
    <t xml:space="preserve">נרשמו 3 הפקדות מזומן ביוני (1,840 ₪ סה"כ). שקול מעבר לתשלום דיגיטלי לחיסכון בזמן.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</si>
</sst>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2563EB"/>
        <bgColor rgb="FF0066CC"/>
      </patternFill>
    </fill>
    <fill>
      <patternFill patternType="solid">
        <fgColor rgb="FFF0F9FF"/>
        <bgColor rgb="FFF1F5F9"/>
      </patternFill>
    </fill>
    <fill>
      <patternFill patternType="solid">
        <fgColor rgb="FFFEE2E2"/>
        <bgColor rgb="FFFDE8E8"/>
      </patternFill>
    </fill>
    <fill>
      <patternFill patternType="solid">
        <fgColor rgb="FFD1FAE5"/>
        <bgColor rgb="FFDCFCE7"/>
      </patternFill>
    </fill>
    <fill>
      <patternFill patternType="solid">
        <fgColor rgb="FFDCFCE7"/>
        <bgColor rgb="FFD1FAE5"/>
      </patternFill>
    </fill>
    <fill>
      <patternFill patternType="solid">
        <fgColor rgb="FFFFF7ED"/>
        <bgColor rgb="FFFAF5FF"/>
      </patternFill>
    </fill>
    <fill>
      <patternFill patternType="solid">
        <fgColor rgb="FFFEF3C7"/>
        <bgColor rgb="FFFEF9C3"/>
      </patternFill>
    </fill>
    <fill>
      <patternFill patternType="solid">
        <fgColor rgb="FFFAF5FF"/>
        <bgColor rgb="FFF1F5F9"/>
      </patternFill>
    </fill>
    <fill>
      <patternFill patternType="solid">
        <fgColor rgb="FFFEF9C3"/>
        <bgColor rgb="FFFEF3C7"/>
      </patternFill>
    </fill>
    <fill>
      <patternFill patternType="solid">
        <fgColor rgb="FFFDE8E8"/>
        <bgColor rgb="FFFEE2E2"/>
      </patternFill>
    </fill>
    <fill>
      <patternFill patternType="solid">
        <fgColor rgb="FFF0FDF4"/>
        <bgColor rgb="FFF0F9FF"/>
      </patternFill>
    </fill>
    <fill>
      <patternFill patternType="solid">
        <fgColor rgb="FF374151"/>
        <bgColor rgb="FF1E3A5F"/>
      </patternFill>
    </fill>
    <fill>
      <patternFill patternType="solid">
        <fgColor rgb="FF16A34A"/>
        <bgColor rgb="FF15803D"/>
      </patternFill>
    </fill>
    <fill>
      <patternFill patternType="solid">
        <fgColor rgb="FF15803D"/>
        <bgColor rgb="FF008080"/>
      </patternFill>
    </fill>
    <fill>
      <patternFill patternType="solid">
        <fgColor rgb="FFDC2626"/>
        <bgColor rgb="FFB45309"/>
      </patternFill>
    </fill>
    <fill>
      <patternFill patternType="solid">
        <fgColor rgb="FF7F1D1D"/>
        <bgColor rgb="FF800000"/>
      </patternFill>
    </fill>
    <fill>
      <patternFill patternType="solid">
        <fgColor rgb="FFF1F5F9"/>
        <bgColor rgb="FFF0F9FF"/>
      </patternFill>
    </fill>
    <fill>
      <patternFill patternType="solid">
        <fgColor rgb="FF7C3AED"/>
        <bgColor rgb="FF993366"/>
      </patternFill>
    </fill>
    <fill>
      <patternFill patternType="solid">
        <fgColor rgb="FFB45309"/>
        <bgColor rgb="FFDC2626"/>
      </patternFill>
    </fill>
    <fill>
      <patternFill patternType="solid">
        <fgColor rgb="FFDBEAFE"/>
        <bgColor rgb="FFF1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8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9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1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1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11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11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1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1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1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1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0" fillId="1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0" fillId="1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0" fillId="1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0" fillId="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0" fillId="1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0" fillId="1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0" fillId="18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0" fillId="18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19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7" fillId="19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2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0" fillId="21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5" fontId="10" fillId="21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5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8" fillId="5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0" fillId="0" borderId="1" xfId="0" applyFont="fals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7" fillId="9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7" fillId="22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7ED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CCCCC"/>
      <rgbColor rgb="FF808080"/>
      <rgbColor rgb="FF9999FF"/>
      <rgbColor rgb="FFB45309"/>
      <rgbColor rgb="FFFEF9C3"/>
      <rgbColor rgb="FFDCFCE7"/>
      <rgbColor rgb="FF660066"/>
      <rgbColor rgb="FFFF8080"/>
      <rgbColor rgb="FF0066CC"/>
      <rgbColor rgb="FFFDE8E8"/>
      <rgbColor rgb="FF000080"/>
      <rgbColor rgb="FFFF00FF"/>
      <rgbColor rgb="FFF0FDF4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EF3C7"/>
      <rgbColor rgb="FFF1F5F9"/>
      <rgbColor rgb="FFFAF5FF"/>
      <rgbColor rgb="FFF0F9FF"/>
      <rgbColor rgb="FFFEE2E2"/>
      <rgbColor rgb="FF2563EB"/>
      <rgbColor rgb="FF33CCCC"/>
      <rgbColor rgb="FF99CC00"/>
      <rgbColor rgb="FFFFCC00"/>
      <rgbColor rgb="FFFF9900"/>
      <rgbColor rgb="FFFF6600"/>
      <rgbColor rgb="FF7C3AED"/>
      <rgbColor rgb="FF969696"/>
      <rgbColor rgb="FF1E3A5F"/>
      <rgbColor rgb="FF16A34A"/>
      <rgbColor rgb="FF003300"/>
      <rgbColor rgb="FF333300"/>
      <rgbColor rgb="FF7F1D1D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8" min="5" style="0" width="12"/>
    <col collapsed="false" customWidth="true" hidden="false" outlineLevel="0" max="9" min="9" style="0" width="20"/>
    <col collapsed="false" customWidth="true" hidden="false" outlineLevel="0" max="10" min="10" style="0" width="25"/>
    <col collapsed="false" customWidth="true" hidden="false" outlineLevel="0" max="11" min="11" style="0" width="15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15" hidden="false" customHeight="false" outlineLevel="0" collapsed="false">
      <c r="A4" s="4" t="s">
        <v>13</v>
      </c>
      <c r="B4" s="4" t="s">
        <v>14</v>
      </c>
      <c r="C4" s="4"/>
      <c r="D4" s="4" t="s">
        <v>15</v>
      </c>
      <c r="E4" s="5" t="n">
        <v>38.5</v>
      </c>
      <c r="F4" s="5"/>
      <c r="G4" s="5" t="n">
        <v>89.52</v>
      </c>
      <c r="H4" s="4" t="s">
        <v>13</v>
      </c>
      <c r="I4" s="4"/>
      <c r="J4" s="4"/>
      <c r="K4" s="4" t="s">
        <v>16</v>
      </c>
    </row>
    <row r="5" customFormat="false" ht="15" hidden="false" customHeight="false" outlineLevel="0" collapsed="false">
      <c r="A5" s="4" t="s">
        <v>17</v>
      </c>
      <c r="B5" s="4" t="s">
        <v>14</v>
      </c>
      <c r="C5" s="4"/>
      <c r="D5" s="4" t="s">
        <v>15</v>
      </c>
      <c r="E5" s="5" t="n">
        <v>31</v>
      </c>
      <c r="F5" s="5"/>
      <c r="G5" s="5" t="n">
        <v>58.52</v>
      </c>
      <c r="H5" s="4" t="s">
        <v>17</v>
      </c>
      <c r="I5" s="4"/>
      <c r="J5" s="4"/>
      <c r="K5" s="4" t="s">
        <v>16</v>
      </c>
    </row>
    <row r="6" customFormat="false" ht="35.05" hidden="false" customHeight="false" outlineLevel="0" collapsed="false">
      <c r="A6" s="6" t="s">
        <v>18</v>
      </c>
      <c r="B6" s="6" t="s">
        <v>19</v>
      </c>
      <c r="C6" s="6" t="s">
        <v>20</v>
      </c>
      <c r="D6" s="6" t="s">
        <v>21</v>
      </c>
      <c r="E6" s="7" t="n">
        <v>6940</v>
      </c>
      <c r="F6" s="7"/>
      <c r="G6" s="7" t="n">
        <v>4879.52</v>
      </c>
      <c r="H6" s="6" t="s">
        <v>18</v>
      </c>
      <c r="I6" s="6" t="s">
        <v>22</v>
      </c>
      <c r="J6" s="6" t="s">
        <v>23</v>
      </c>
      <c r="K6" s="6" t="s">
        <v>24</v>
      </c>
    </row>
    <row r="7" customFormat="false" ht="23.85" hidden="false" customHeight="false" outlineLevel="0" collapsed="false">
      <c r="A7" s="8" t="s">
        <v>18</v>
      </c>
      <c r="B7" s="8" t="s">
        <v>25</v>
      </c>
      <c r="C7" s="8" t="s">
        <v>26</v>
      </c>
      <c r="D7" s="8" t="s">
        <v>27</v>
      </c>
      <c r="E7" s="9"/>
      <c r="F7" s="9" t="n">
        <v>4711</v>
      </c>
      <c r="G7" s="9" t="n">
        <v>11819.52</v>
      </c>
      <c r="H7" s="8" t="s">
        <v>18</v>
      </c>
      <c r="I7" s="8"/>
      <c r="J7" s="8" t="s">
        <v>28</v>
      </c>
      <c r="K7" s="8" t="s">
        <v>29</v>
      </c>
    </row>
    <row r="8" customFormat="false" ht="23.85" hidden="false" customHeight="false" outlineLevel="0" collapsed="false">
      <c r="A8" s="10" t="s">
        <v>18</v>
      </c>
      <c r="B8" s="10" t="s">
        <v>30</v>
      </c>
      <c r="C8" s="10" t="s">
        <v>31</v>
      </c>
      <c r="D8" s="10" t="s">
        <v>32</v>
      </c>
      <c r="E8" s="11"/>
      <c r="F8" s="11" t="n">
        <v>50</v>
      </c>
      <c r="G8" s="11" t="n">
        <v>7108.52</v>
      </c>
      <c r="H8" s="10" t="s">
        <v>18</v>
      </c>
      <c r="I8" s="10" t="s">
        <v>33</v>
      </c>
      <c r="J8" s="10" t="s">
        <v>34</v>
      </c>
      <c r="K8" s="10" t="s">
        <v>35</v>
      </c>
    </row>
    <row r="9" customFormat="false" ht="15" hidden="false" customHeight="false" outlineLevel="0" collapsed="false">
      <c r="A9" s="10" t="s">
        <v>18</v>
      </c>
      <c r="B9" s="10" t="s">
        <v>36</v>
      </c>
      <c r="C9" s="10" t="s">
        <v>37</v>
      </c>
      <c r="D9" s="10" t="s">
        <v>38</v>
      </c>
      <c r="E9" s="11"/>
      <c r="F9" s="11" t="n">
        <v>7000</v>
      </c>
      <c r="G9" s="11" t="n">
        <v>7058.52</v>
      </c>
      <c r="H9" s="10" t="s">
        <v>18</v>
      </c>
      <c r="I9" s="10" t="s">
        <v>39</v>
      </c>
      <c r="J9" s="10"/>
      <c r="K9" s="10" t="s">
        <v>35</v>
      </c>
    </row>
    <row r="10" customFormat="false" ht="15" hidden="false" customHeight="false" outlineLevel="0" collapsed="false">
      <c r="A10" s="12" t="s">
        <v>40</v>
      </c>
      <c r="B10" s="12" t="s">
        <v>41</v>
      </c>
      <c r="C10" s="12"/>
      <c r="D10" s="12" t="s">
        <v>15</v>
      </c>
      <c r="E10" s="13" t="n">
        <v>106.9</v>
      </c>
      <c r="F10" s="13"/>
      <c r="G10" s="13" t="n">
        <v>4711.82</v>
      </c>
      <c r="H10" s="12" t="s">
        <v>40</v>
      </c>
      <c r="I10" s="12"/>
      <c r="J10" s="12"/>
      <c r="K10" s="12" t="s">
        <v>42</v>
      </c>
    </row>
    <row r="11" customFormat="false" ht="15" hidden="false" customHeight="false" outlineLevel="0" collapsed="false">
      <c r="A11" s="4" t="s">
        <v>40</v>
      </c>
      <c r="B11" s="4" t="s">
        <v>14</v>
      </c>
      <c r="C11" s="4"/>
      <c r="D11" s="4" t="s">
        <v>15</v>
      </c>
      <c r="E11" s="5" t="n">
        <v>60.8</v>
      </c>
      <c r="F11" s="5"/>
      <c r="G11" s="5" t="n">
        <v>4818.72</v>
      </c>
      <c r="H11" s="4" t="s">
        <v>40</v>
      </c>
      <c r="I11" s="4"/>
      <c r="J11" s="4"/>
      <c r="K11" s="4" t="s">
        <v>16</v>
      </c>
    </row>
    <row r="12" customFormat="false" ht="15" hidden="false" customHeight="false" outlineLevel="0" collapsed="false">
      <c r="A12" s="4" t="s">
        <v>43</v>
      </c>
      <c r="B12" s="4" t="s">
        <v>14</v>
      </c>
      <c r="C12" s="4"/>
      <c r="D12" s="4" t="s">
        <v>15</v>
      </c>
      <c r="E12" s="5" t="n">
        <v>810.2</v>
      </c>
      <c r="F12" s="5"/>
      <c r="G12" s="5" t="n">
        <v>3901.62</v>
      </c>
      <c r="H12" s="4" t="s">
        <v>43</v>
      </c>
      <c r="I12" s="4"/>
      <c r="J12" s="4"/>
      <c r="K12" s="4" t="s">
        <v>16</v>
      </c>
    </row>
    <row r="13" customFormat="false" ht="15" hidden="false" customHeight="false" outlineLevel="0" collapsed="false">
      <c r="A13" s="4" t="s">
        <v>44</v>
      </c>
      <c r="B13" s="4" t="s">
        <v>14</v>
      </c>
      <c r="C13" s="4"/>
      <c r="D13" s="4" t="s">
        <v>15</v>
      </c>
      <c r="E13" s="5" t="n">
        <v>516.29</v>
      </c>
      <c r="F13" s="5"/>
      <c r="G13" s="5" t="n">
        <v>3385.33</v>
      </c>
      <c r="H13" s="4" t="s">
        <v>44</v>
      </c>
      <c r="I13" s="4"/>
      <c r="J13" s="4"/>
      <c r="K13" s="4" t="s">
        <v>16</v>
      </c>
    </row>
    <row r="14" customFormat="false" ht="15" hidden="false" customHeight="false" outlineLevel="0" collapsed="false">
      <c r="A14" s="4" t="s">
        <v>45</v>
      </c>
      <c r="B14" s="4" t="s">
        <v>14</v>
      </c>
      <c r="C14" s="4"/>
      <c r="D14" s="4" t="s">
        <v>15</v>
      </c>
      <c r="E14" s="5" t="n">
        <v>916.44</v>
      </c>
      <c r="F14" s="5"/>
      <c r="G14" s="5" t="n">
        <v>2468.89</v>
      </c>
      <c r="H14" s="4" t="s">
        <v>45</v>
      </c>
      <c r="I14" s="4"/>
      <c r="J14" s="4"/>
      <c r="K14" s="4" t="s">
        <v>16</v>
      </c>
    </row>
    <row r="15" customFormat="false" ht="15" hidden="false" customHeight="false" outlineLevel="0" collapsed="false">
      <c r="A15" s="14" t="s">
        <v>46</v>
      </c>
      <c r="B15" s="14" t="s">
        <v>47</v>
      </c>
      <c r="C15" s="14"/>
      <c r="D15" s="14" t="s">
        <v>48</v>
      </c>
      <c r="E15" s="15" t="n">
        <v>54.3</v>
      </c>
      <c r="F15" s="15"/>
      <c r="G15" s="15" t="n">
        <v>602.66</v>
      </c>
      <c r="H15" s="14" t="s">
        <v>46</v>
      </c>
      <c r="I15" s="14"/>
      <c r="J15" s="14"/>
      <c r="K15" s="14" t="s">
        <v>49</v>
      </c>
    </row>
    <row r="16" customFormat="false" ht="15" hidden="false" customHeight="false" outlineLevel="0" collapsed="false">
      <c r="A16" s="4" t="s">
        <v>46</v>
      </c>
      <c r="B16" s="4" t="s">
        <v>14</v>
      </c>
      <c r="C16" s="4"/>
      <c r="D16" s="4" t="s">
        <v>15</v>
      </c>
      <c r="E16" s="5" t="n">
        <v>1811.93</v>
      </c>
      <c r="F16" s="5"/>
      <c r="G16" s="5" t="n">
        <v>656.96</v>
      </c>
      <c r="H16" s="4" t="s">
        <v>46</v>
      </c>
      <c r="I16" s="4"/>
      <c r="J16" s="4"/>
      <c r="K16" s="4" t="s">
        <v>16</v>
      </c>
    </row>
    <row r="17" customFormat="false" ht="15" hidden="false" customHeight="false" outlineLevel="0" collapsed="false">
      <c r="A17" s="4" t="s">
        <v>50</v>
      </c>
      <c r="B17" s="4" t="s">
        <v>14</v>
      </c>
      <c r="C17" s="4"/>
      <c r="D17" s="4" t="s">
        <v>15</v>
      </c>
      <c r="E17" s="5" t="n">
        <v>655.63</v>
      </c>
      <c r="F17" s="5"/>
      <c r="G17" s="16" t="n">
        <v>-52.97</v>
      </c>
      <c r="H17" s="4" t="s">
        <v>50</v>
      </c>
      <c r="I17" s="4"/>
      <c r="J17" s="4"/>
      <c r="K17" s="4" t="s">
        <v>16</v>
      </c>
    </row>
    <row r="18" customFormat="false" ht="23.85" hidden="false" customHeight="false" outlineLevel="0" collapsed="false">
      <c r="A18" s="8" t="s">
        <v>51</v>
      </c>
      <c r="B18" s="8" t="s">
        <v>52</v>
      </c>
      <c r="C18" s="8" t="s">
        <v>53</v>
      </c>
      <c r="D18" s="8" t="s">
        <v>54</v>
      </c>
      <c r="E18" s="9"/>
      <c r="F18" s="9" t="n">
        <v>770</v>
      </c>
      <c r="G18" s="9" t="n">
        <v>7075.03</v>
      </c>
      <c r="H18" s="8" t="s">
        <v>51</v>
      </c>
      <c r="I18" s="8"/>
      <c r="J18" s="8" t="s">
        <v>55</v>
      </c>
      <c r="K18" s="8" t="s">
        <v>56</v>
      </c>
    </row>
    <row r="19" customFormat="false" ht="23.85" hidden="false" customHeight="false" outlineLevel="0" collapsed="false">
      <c r="A19" s="8" t="s">
        <v>51</v>
      </c>
      <c r="B19" s="8" t="s">
        <v>57</v>
      </c>
      <c r="C19" s="8" t="s">
        <v>58</v>
      </c>
      <c r="D19" s="8" t="s">
        <v>59</v>
      </c>
      <c r="E19" s="9"/>
      <c r="F19" s="9" t="n">
        <v>6358</v>
      </c>
      <c r="G19" s="9" t="n">
        <v>6305.03</v>
      </c>
      <c r="H19" s="8" t="s">
        <v>51</v>
      </c>
      <c r="I19" s="8" t="s">
        <v>39</v>
      </c>
      <c r="J19" s="8" t="s">
        <v>60</v>
      </c>
      <c r="K19" s="8" t="s">
        <v>60</v>
      </c>
    </row>
    <row r="20" customFormat="false" ht="15" hidden="false" customHeight="false" outlineLevel="0" collapsed="false">
      <c r="A20" s="17" t="s">
        <v>61</v>
      </c>
      <c r="B20" s="17" t="s">
        <v>62</v>
      </c>
      <c r="C20" s="17"/>
      <c r="D20" s="17" t="s">
        <v>63</v>
      </c>
      <c r="E20" s="18" t="n">
        <v>3550</v>
      </c>
      <c r="F20" s="18"/>
      <c r="G20" s="18" t="n">
        <v>3503.03</v>
      </c>
      <c r="H20" s="17" t="s">
        <v>61</v>
      </c>
      <c r="I20" s="17"/>
      <c r="J20" s="17"/>
      <c r="K20" s="17" t="s">
        <v>64</v>
      </c>
    </row>
    <row r="21" customFormat="false" ht="15" hidden="false" customHeight="false" outlineLevel="0" collapsed="false">
      <c r="A21" s="19" t="s">
        <v>61</v>
      </c>
      <c r="B21" s="19" t="s">
        <v>65</v>
      </c>
      <c r="C21" s="19"/>
      <c r="D21" s="19" t="s">
        <v>66</v>
      </c>
      <c r="E21" s="20" t="n">
        <v>22</v>
      </c>
      <c r="F21" s="20"/>
      <c r="G21" s="20" t="n">
        <v>7053.03</v>
      </c>
      <c r="H21" s="19" t="s">
        <v>61</v>
      </c>
      <c r="I21" s="19"/>
      <c r="J21" s="19"/>
      <c r="K21" s="19" t="s">
        <v>67</v>
      </c>
    </row>
    <row r="22" customFormat="false" ht="15" hidden="false" customHeight="false" outlineLevel="0" collapsed="false">
      <c r="A22" s="4" t="s">
        <v>68</v>
      </c>
      <c r="B22" s="4" t="s">
        <v>14</v>
      </c>
      <c r="C22" s="4"/>
      <c r="D22" s="4" t="s">
        <v>15</v>
      </c>
      <c r="E22" s="5" t="n">
        <v>331.7</v>
      </c>
      <c r="F22" s="5"/>
      <c r="G22" s="5" t="n">
        <v>6721.33</v>
      </c>
      <c r="H22" s="4" t="s">
        <v>68</v>
      </c>
      <c r="I22" s="4"/>
      <c r="J22" s="4"/>
      <c r="K22" s="4" t="s">
        <v>16</v>
      </c>
    </row>
    <row r="23" customFormat="false" ht="23.85" hidden="false" customHeight="false" outlineLevel="0" collapsed="false">
      <c r="A23" s="21" t="s">
        <v>68</v>
      </c>
      <c r="B23" s="21" t="s">
        <v>69</v>
      </c>
      <c r="C23" s="21" t="s">
        <v>70</v>
      </c>
      <c r="D23" s="21" t="s">
        <v>63</v>
      </c>
      <c r="E23" s="22"/>
      <c r="F23" s="22" t="n">
        <v>3550</v>
      </c>
      <c r="G23" s="22" t="n">
        <v>7053.03</v>
      </c>
      <c r="H23" s="21" t="s">
        <v>61</v>
      </c>
      <c r="I23" s="21" t="s">
        <v>71</v>
      </c>
      <c r="J23" s="21" t="s">
        <v>72</v>
      </c>
      <c r="K23" s="21" t="s">
        <v>73</v>
      </c>
    </row>
    <row r="24" customFormat="false" ht="15" hidden="false" customHeight="false" outlineLevel="0" collapsed="false">
      <c r="A24" s="4" t="s">
        <v>74</v>
      </c>
      <c r="B24" s="4" t="s">
        <v>14</v>
      </c>
      <c r="C24" s="4"/>
      <c r="D24" s="4" t="s">
        <v>15</v>
      </c>
      <c r="E24" s="5" t="n">
        <v>778.73</v>
      </c>
      <c r="F24" s="5"/>
      <c r="G24" s="5" t="n">
        <v>5942.6</v>
      </c>
      <c r="H24" s="4" t="s">
        <v>74</v>
      </c>
      <c r="I24" s="4"/>
      <c r="J24" s="4"/>
      <c r="K24" s="4" t="s">
        <v>16</v>
      </c>
    </row>
    <row r="25" customFormat="false" ht="15" hidden="false" customHeight="false" outlineLevel="0" collapsed="false">
      <c r="A25" s="14" t="s">
        <v>75</v>
      </c>
      <c r="B25" s="14" t="s">
        <v>76</v>
      </c>
      <c r="C25" s="14"/>
      <c r="D25" s="14" t="s">
        <v>77</v>
      </c>
      <c r="E25" s="15" t="n">
        <v>95.76</v>
      </c>
      <c r="F25" s="15"/>
      <c r="G25" s="15" t="n">
        <v>1610.5</v>
      </c>
      <c r="H25" s="14" t="s">
        <v>75</v>
      </c>
      <c r="I25" s="14"/>
      <c r="J25" s="14"/>
      <c r="K25" s="14" t="s">
        <v>49</v>
      </c>
    </row>
    <row r="26" customFormat="false" ht="15" hidden="false" customHeight="false" outlineLevel="0" collapsed="false">
      <c r="A26" s="4" t="s">
        <v>75</v>
      </c>
      <c r="B26" s="4" t="s">
        <v>14</v>
      </c>
      <c r="C26" s="4"/>
      <c r="D26" s="4" t="s">
        <v>15</v>
      </c>
      <c r="E26" s="5" t="n">
        <v>886.34</v>
      </c>
      <c r="F26" s="5"/>
      <c r="G26" s="5" t="n">
        <v>1706.26</v>
      </c>
      <c r="H26" s="4" t="s">
        <v>75</v>
      </c>
      <c r="I26" s="4"/>
      <c r="J26" s="4"/>
      <c r="K26" s="4" t="s">
        <v>16</v>
      </c>
    </row>
    <row r="27" customFormat="false" ht="23.85" hidden="false" customHeight="false" outlineLevel="0" collapsed="false">
      <c r="A27" s="12" t="s">
        <v>75</v>
      </c>
      <c r="B27" s="12" t="s">
        <v>78</v>
      </c>
      <c r="C27" s="12" t="s">
        <v>79</v>
      </c>
      <c r="D27" s="12" t="s">
        <v>80</v>
      </c>
      <c r="E27" s="13" t="n">
        <v>3350</v>
      </c>
      <c r="F27" s="13"/>
      <c r="G27" s="13" t="n">
        <v>2592.6</v>
      </c>
      <c r="H27" s="12" t="s">
        <v>75</v>
      </c>
      <c r="I27" s="12" t="s">
        <v>81</v>
      </c>
      <c r="J27" s="12" t="s">
        <v>82</v>
      </c>
      <c r="K27" s="12" t="s">
        <v>83</v>
      </c>
    </row>
    <row r="28" customFormat="false" ht="15" hidden="false" customHeight="false" outlineLevel="0" collapsed="false">
      <c r="A28" s="4" t="s">
        <v>84</v>
      </c>
      <c r="B28" s="4" t="s">
        <v>14</v>
      </c>
      <c r="C28" s="4"/>
      <c r="D28" s="4" t="s">
        <v>15</v>
      </c>
      <c r="E28" s="5" t="n">
        <v>1306.37</v>
      </c>
      <c r="F28" s="5"/>
      <c r="G28" s="5" t="n">
        <v>1324.13</v>
      </c>
      <c r="H28" s="4" t="s">
        <v>84</v>
      </c>
      <c r="I28" s="4"/>
      <c r="J28" s="4"/>
      <c r="K28" s="4" t="s">
        <v>16</v>
      </c>
    </row>
    <row r="29" customFormat="false" ht="15" hidden="false" customHeight="false" outlineLevel="0" collapsed="false">
      <c r="A29" s="23" t="s">
        <v>84</v>
      </c>
      <c r="B29" s="23" t="s">
        <v>85</v>
      </c>
      <c r="C29" s="23"/>
      <c r="D29" s="23" t="s">
        <v>15</v>
      </c>
      <c r="E29" s="24"/>
      <c r="F29" s="24" t="n">
        <v>1020</v>
      </c>
      <c r="G29" s="24" t="n">
        <v>2630.5</v>
      </c>
      <c r="H29" s="23" t="s">
        <v>84</v>
      </c>
      <c r="I29" s="23"/>
      <c r="J29" s="23"/>
      <c r="K29" s="23" t="s">
        <v>86</v>
      </c>
    </row>
    <row r="30" customFormat="false" ht="15" hidden="false" customHeight="false" outlineLevel="0" collapsed="false">
      <c r="A30" s="4" t="s">
        <v>87</v>
      </c>
      <c r="B30" s="4" t="s">
        <v>14</v>
      </c>
      <c r="C30" s="4"/>
      <c r="D30" s="4" t="s">
        <v>15</v>
      </c>
      <c r="E30" s="5" t="n">
        <v>407.11</v>
      </c>
      <c r="F30" s="5"/>
      <c r="G30" s="5" t="n">
        <v>1337.02</v>
      </c>
      <c r="H30" s="4" t="s">
        <v>87</v>
      </c>
      <c r="I30" s="4"/>
      <c r="J30" s="4"/>
      <c r="K30" s="4" t="s">
        <v>16</v>
      </c>
    </row>
    <row r="31" customFormat="false" ht="15" hidden="false" customHeight="false" outlineLevel="0" collapsed="false">
      <c r="A31" s="23" t="s">
        <v>87</v>
      </c>
      <c r="B31" s="23" t="s">
        <v>85</v>
      </c>
      <c r="C31" s="23"/>
      <c r="D31" s="23" t="s">
        <v>15</v>
      </c>
      <c r="E31" s="24"/>
      <c r="F31" s="24" t="n">
        <v>420</v>
      </c>
      <c r="G31" s="24" t="n">
        <v>1744.13</v>
      </c>
      <c r="H31" s="23" t="s">
        <v>87</v>
      </c>
      <c r="I31" s="23"/>
      <c r="J31" s="23"/>
      <c r="K31" s="23" t="s">
        <v>86</v>
      </c>
    </row>
    <row r="32" customFormat="false" ht="15" hidden="false" customHeight="false" outlineLevel="0" collapsed="false">
      <c r="A32" s="14" t="s">
        <v>88</v>
      </c>
      <c r="B32" s="14" t="s">
        <v>89</v>
      </c>
      <c r="C32" s="14" t="s">
        <v>90</v>
      </c>
      <c r="D32" s="14" t="s">
        <v>91</v>
      </c>
      <c r="E32" s="15" t="n">
        <v>39.9</v>
      </c>
      <c r="F32" s="15"/>
      <c r="G32" s="15" t="n">
        <v>322.1</v>
      </c>
      <c r="H32" s="14" t="s">
        <v>88</v>
      </c>
      <c r="I32" s="14"/>
      <c r="J32" s="14" t="s">
        <v>92</v>
      </c>
      <c r="K32" s="14" t="s">
        <v>49</v>
      </c>
    </row>
    <row r="33" customFormat="false" ht="15" hidden="false" customHeight="false" outlineLevel="0" collapsed="false">
      <c r="A33" s="17" t="s">
        <v>88</v>
      </c>
      <c r="B33" s="17" t="s">
        <v>62</v>
      </c>
      <c r="C33" s="17"/>
      <c r="D33" s="17" t="s">
        <v>93</v>
      </c>
      <c r="E33" s="18" t="n">
        <v>1054</v>
      </c>
      <c r="F33" s="18"/>
      <c r="G33" s="18" t="n">
        <v>362</v>
      </c>
      <c r="H33" s="17" t="s">
        <v>88</v>
      </c>
      <c r="I33" s="17"/>
      <c r="J33" s="17"/>
      <c r="K33" s="17" t="s">
        <v>64</v>
      </c>
    </row>
    <row r="34" customFormat="false" ht="15" hidden="false" customHeight="false" outlineLevel="0" collapsed="false">
      <c r="A34" s="4" t="s">
        <v>88</v>
      </c>
      <c r="B34" s="4" t="s">
        <v>14</v>
      </c>
      <c r="C34" s="4"/>
      <c r="D34" s="4" t="s">
        <v>15</v>
      </c>
      <c r="E34" s="5" t="n">
        <v>321.02</v>
      </c>
      <c r="F34" s="5"/>
      <c r="G34" s="5" t="n">
        <v>1416</v>
      </c>
      <c r="H34" s="4" t="s">
        <v>88</v>
      </c>
      <c r="I34" s="4"/>
      <c r="J34" s="4"/>
      <c r="K34" s="4" t="s">
        <v>16</v>
      </c>
    </row>
    <row r="35" customFormat="false" ht="15" hidden="false" customHeight="false" outlineLevel="0" collapsed="false">
      <c r="A35" s="23" t="s">
        <v>88</v>
      </c>
      <c r="B35" s="23" t="s">
        <v>85</v>
      </c>
      <c r="C35" s="23"/>
      <c r="D35" s="23" t="s">
        <v>15</v>
      </c>
      <c r="E35" s="24"/>
      <c r="F35" s="24" t="n">
        <v>400</v>
      </c>
      <c r="G35" s="24" t="n">
        <v>1737.02</v>
      </c>
      <c r="H35" s="23" t="s">
        <v>88</v>
      </c>
      <c r="I35" s="23"/>
      <c r="J35" s="23"/>
      <c r="K35" s="23" t="s">
        <v>86</v>
      </c>
    </row>
    <row r="36" customFormat="false" ht="15" hidden="false" customHeight="false" outlineLevel="0" collapsed="false">
      <c r="A36" s="4" t="s">
        <v>94</v>
      </c>
      <c r="B36" s="4" t="s">
        <v>14</v>
      </c>
      <c r="C36" s="4"/>
      <c r="D36" s="4" t="s">
        <v>15</v>
      </c>
      <c r="E36" s="5" t="n">
        <v>155.07</v>
      </c>
      <c r="F36" s="5"/>
      <c r="G36" s="5" t="n">
        <v>167.03</v>
      </c>
      <c r="H36" s="4" t="s">
        <v>94</v>
      </c>
      <c r="I36" s="4"/>
      <c r="J36" s="4"/>
      <c r="K36" s="4" t="s">
        <v>16</v>
      </c>
    </row>
    <row r="37" customFormat="false" ht="15" hidden="false" customHeight="false" outlineLevel="0" collapsed="false">
      <c r="A37" s="4" t="s">
        <v>95</v>
      </c>
      <c r="B37" s="4" t="s">
        <v>14</v>
      </c>
      <c r="C37" s="4"/>
      <c r="D37" s="4" t="s">
        <v>15</v>
      </c>
      <c r="E37" s="5" t="n">
        <v>152.98</v>
      </c>
      <c r="F37" s="5"/>
      <c r="G37" s="5" t="n">
        <v>14.05</v>
      </c>
      <c r="H37" s="4" t="s">
        <v>95</v>
      </c>
      <c r="I37" s="4"/>
      <c r="J37" s="4"/>
      <c r="K37" s="4" t="s">
        <v>16</v>
      </c>
    </row>
    <row r="38" customFormat="false" ht="15" hidden="false" customHeight="false" outlineLevel="0" collapsed="false">
      <c r="A38" s="4" t="s">
        <v>96</v>
      </c>
      <c r="B38" s="4" t="s">
        <v>14</v>
      </c>
      <c r="C38" s="4"/>
      <c r="D38" s="4" t="s">
        <v>15</v>
      </c>
      <c r="E38" s="5" t="n">
        <v>121.55</v>
      </c>
      <c r="F38" s="5"/>
      <c r="G38" s="16" t="n">
        <v>-107.5</v>
      </c>
      <c r="H38" s="4" t="s">
        <v>96</v>
      </c>
      <c r="I38" s="4"/>
      <c r="J38" s="4"/>
      <c r="K38" s="4" t="s">
        <v>16</v>
      </c>
    </row>
    <row r="39" customFormat="false" ht="15" hidden="false" customHeight="false" outlineLevel="0" collapsed="false">
      <c r="A39" s="4" t="s">
        <v>97</v>
      </c>
      <c r="B39" s="4" t="s">
        <v>14</v>
      </c>
      <c r="C39" s="4"/>
      <c r="D39" s="4" t="s">
        <v>15</v>
      </c>
      <c r="E39" s="5" t="n">
        <v>15.2</v>
      </c>
      <c r="F39" s="5"/>
      <c r="G39" s="16" t="n">
        <v>-122.7</v>
      </c>
      <c r="H39" s="4" t="s">
        <v>97</v>
      </c>
      <c r="I39" s="4"/>
      <c r="J39" s="4"/>
      <c r="K39" s="4" t="s">
        <v>16</v>
      </c>
    </row>
    <row r="40" customFormat="false" ht="23.85" hidden="false" customHeight="false" outlineLevel="0" collapsed="false">
      <c r="A40" s="10" t="s">
        <v>98</v>
      </c>
      <c r="B40" s="10" t="s">
        <v>30</v>
      </c>
      <c r="C40" s="10" t="s">
        <v>31</v>
      </c>
      <c r="D40" s="10" t="s">
        <v>99</v>
      </c>
      <c r="E40" s="11"/>
      <c r="F40" s="11" t="n">
        <v>200</v>
      </c>
      <c r="G40" s="11" t="n">
        <v>77.3</v>
      </c>
      <c r="H40" s="10" t="s">
        <v>98</v>
      </c>
      <c r="I40" s="10" t="s">
        <v>33</v>
      </c>
      <c r="J40" s="10" t="s">
        <v>34</v>
      </c>
      <c r="K40" s="10" t="s">
        <v>35</v>
      </c>
    </row>
    <row r="41" customFormat="false" ht="15" hidden="false" customHeight="false" outlineLevel="0" collapsed="false">
      <c r="A41" s="4" t="s">
        <v>100</v>
      </c>
      <c r="B41" s="4" t="s">
        <v>14</v>
      </c>
      <c r="C41" s="4"/>
      <c r="D41" s="4" t="s">
        <v>15</v>
      </c>
      <c r="E41" s="5" t="n">
        <v>76.3</v>
      </c>
      <c r="F41" s="5"/>
      <c r="G41" s="5" t="n">
        <v>1</v>
      </c>
      <c r="H41" s="4" t="s">
        <v>100</v>
      </c>
      <c r="I41" s="4"/>
      <c r="J41" s="4"/>
      <c r="K41" s="4" t="s">
        <v>16</v>
      </c>
    </row>
    <row r="42" customFormat="false" ht="15" hidden="false" customHeight="false" outlineLevel="0" collapsed="false">
      <c r="A42" s="4" t="s">
        <v>100</v>
      </c>
      <c r="B42" s="4" t="s">
        <v>101</v>
      </c>
      <c r="C42" s="4"/>
      <c r="D42" s="4" t="s">
        <v>15</v>
      </c>
      <c r="E42" s="5" t="n">
        <v>550</v>
      </c>
      <c r="F42" s="5"/>
      <c r="G42" s="5" t="n">
        <v>46.74</v>
      </c>
      <c r="H42" s="4" t="s">
        <v>100</v>
      </c>
      <c r="I42" s="4"/>
      <c r="J42" s="4"/>
      <c r="K42" s="4" t="s">
        <v>16</v>
      </c>
    </row>
    <row r="43" customFormat="false" ht="15" hidden="false" customHeight="false" outlineLevel="0" collapsed="false">
      <c r="A43" s="4" t="s">
        <v>100</v>
      </c>
      <c r="B43" s="4" t="s">
        <v>101</v>
      </c>
      <c r="C43" s="4"/>
      <c r="D43" s="4" t="s">
        <v>15</v>
      </c>
      <c r="E43" s="5" t="n">
        <v>204.26</v>
      </c>
      <c r="F43" s="5"/>
      <c r="G43" s="5" t="n">
        <v>596.74</v>
      </c>
      <c r="H43" s="4" t="s">
        <v>100</v>
      </c>
      <c r="I43" s="4"/>
      <c r="J43" s="4"/>
      <c r="K43" s="4" t="s">
        <v>16</v>
      </c>
    </row>
    <row r="44" customFormat="false" ht="15" hidden="false" customHeight="false" outlineLevel="0" collapsed="false">
      <c r="A44" s="4" t="s">
        <v>100</v>
      </c>
      <c r="B44" s="4" t="s">
        <v>101</v>
      </c>
      <c r="C44" s="4"/>
      <c r="D44" s="4" t="s">
        <v>15</v>
      </c>
      <c r="E44" s="5" t="n">
        <v>300</v>
      </c>
      <c r="F44" s="5"/>
      <c r="G44" s="5" t="n">
        <v>801</v>
      </c>
      <c r="H44" s="4" t="s">
        <v>100</v>
      </c>
      <c r="I44" s="4"/>
      <c r="J44" s="4"/>
      <c r="K44" s="4" t="s">
        <v>16</v>
      </c>
    </row>
    <row r="45" customFormat="false" ht="15" hidden="false" customHeight="false" outlineLevel="0" collapsed="false">
      <c r="A45" s="10" t="s">
        <v>100</v>
      </c>
      <c r="B45" s="10" t="s">
        <v>102</v>
      </c>
      <c r="C45" s="10"/>
      <c r="D45" s="10" t="s">
        <v>103</v>
      </c>
      <c r="E45" s="11"/>
      <c r="F45" s="11" t="n">
        <v>1100</v>
      </c>
      <c r="G45" s="11" t="n">
        <v>1101</v>
      </c>
      <c r="H45" s="10" t="s">
        <v>104</v>
      </c>
      <c r="I45" s="10"/>
      <c r="J45" s="10"/>
      <c r="K45" s="10" t="s">
        <v>35</v>
      </c>
    </row>
    <row r="46" customFormat="false" ht="15" hidden="false" customHeight="false" outlineLevel="0" collapsed="false">
      <c r="A46" s="25" t="s">
        <v>105</v>
      </c>
      <c r="B46" s="25"/>
      <c r="C46" s="25"/>
      <c r="D46" s="25"/>
      <c r="E46" s="26" t="n">
        <f aca="false">SUM(E4:E45)</f>
        <v>25660.28</v>
      </c>
      <c r="F46" s="26" t="n">
        <f aca="false">SUM(F4:F45)</f>
        <v>25579</v>
      </c>
      <c r="G46" s="25"/>
      <c r="H46" s="25"/>
      <c r="I46" s="25"/>
      <c r="J46" s="25"/>
      <c r="K46" s="25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8" min="6" style="0" width="16"/>
  </cols>
  <sheetData>
    <row r="1" customFormat="false" ht="19.7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6.85" hidden="false" customHeight="false" outlineLevel="0" collapsed="false">
      <c r="A3" s="3" t="s">
        <v>108</v>
      </c>
      <c r="B3" s="3" t="s">
        <v>109</v>
      </c>
      <c r="C3" s="3" t="s">
        <v>110</v>
      </c>
      <c r="D3" s="3" t="s">
        <v>111</v>
      </c>
      <c r="E3" s="3" t="s">
        <v>112</v>
      </c>
      <c r="F3" s="3" t="s">
        <v>113</v>
      </c>
      <c r="G3" s="3" t="s">
        <v>114</v>
      </c>
      <c r="H3" s="3" t="s">
        <v>115</v>
      </c>
    </row>
    <row r="4" customFormat="false" ht="15" hidden="false" customHeight="false" outlineLevel="0" collapsed="false">
      <c r="A4" s="8" t="s">
        <v>116</v>
      </c>
      <c r="B4" s="9" t="n">
        <v>11761</v>
      </c>
      <c r="C4" s="9" t="n">
        <v>11286.36</v>
      </c>
      <c r="D4" s="9" t="n">
        <v>474.640000000001</v>
      </c>
      <c r="E4" s="8" t="n">
        <v>13</v>
      </c>
      <c r="F4" s="9" t="n">
        <v>4185.16</v>
      </c>
      <c r="G4" s="9" t="n">
        <v>54.3</v>
      </c>
      <c r="H4" s="9" t="n">
        <v>0</v>
      </c>
    </row>
    <row r="5" customFormat="false" ht="15" hidden="false" customHeight="false" outlineLevel="0" collapsed="false">
      <c r="A5" s="6" t="s">
        <v>117</v>
      </c>
      <c r="B5" s="7" t="n">
        <v>13818</v>
      </c>
      <c r="C5" s="7" t="n">
        <v>14373.92</v>
      </c>
      <c r="D5" s="27" t="n">
        <v>-555.919999999998</v>
      </c>
      <c r="E5" s="6" t="n">
        <v>29</v>
      </c>
      <c r="F5" s="7" t="n">
        <v>6262.26</v>
      </c>
      <c r="G5" s="7" t="n">
        <v>135.66</v>
      </c>
      <c r="H5" s="7" t="n">
        <v>3350</v>
      </c>
    </row>
    <row r="6" customFormat="false" ht="15" hidden="false" customHeight="false" outlineLevel="0" collapsed="false">
      <c r="A6" s="28" t="s">
        <v>105</v>
      </c>
      <c r="B6" s="29" t="n">
        <f aca="false">SUM(B4:B5)</f>
        <v>25579</v>
      </c>
      <c r="C6" s="29" t="n">
        <f aca="false">SUM(C4:C5)</f>
        <v>25660.28</v>
      </c>
      <c r="D6" s="29" t="n">
        <f aca="false">SUM(D4:D5)</f>
        <v>-81.2799999999971</v>
      </c>
      <c r="E6" s="28"/>
      <c r="F6" s="29" t="n">
        <f aca="false">SUM(F4:F5)</f>
        <v>10447.42</v>
      </c>
      <c r="G6" s="29" t="n">
        <f aca="false">SUM(G4:G5)</f>
        <v>189.96</v>
      </c>
      <c r="H6" s="29" t="n">
        <f aca="false">SUM(H4:H5)</f>
        <v>3350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35"/>
  </cols>
  <sheetData>
    <row r="1" customFormat="false" ht="19.7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 t="s">
        <v>120</v>
      </c>
      <c r="C3" s="3" t="s">
        <v>5</v>
      </c>
      <c r="D3" s="3" t="s">
        <v>121</v>
      </c>
      <c r="E3" s="3" t="s">
        <v>108</v>
      </c>
      <c r="F3" s="3" t="s">
        <v>4</v>
      </c>
    </row>
    <row r="4" customFormat="false" ht="15" hidden="false" customHeight="false" outlineLevel="0" collapsed="false">
      <c r="A4" s="14" t="s">
        <v>46</v>
      </c>
      <c r="B4" s="14" t="s">
        <v>47</v>
      </c>
      <c r="C4" s="14" t="s">
        <v>48</v>
      </c>
      <c r="D4" s="15" t="n">
        <v>54.3</v>
      </c>
      <c r="E4" s="14" t="s">
        <v>116</v>
      </c>
      <c r="F4" s="14"/>
    </row>
    <row r="5" customFormat="false" ht="15" hidden="false" customHeight="false" outlineLevel="0" collapsed="false">
      <c r="A5" s="14" t="s">
        <v>75</v>
      </c>
      <c r="B5" s="14" t="s">
        <v>76</v>
      </c>
      <c r="C5" s="14" t="s">
        <v>77</v>
      </c>
      <c r="D5" s="15" t="n">
        <v>95.76</v>
      </c>
      <c r="E5" s="14" t="s">
        <v>117</v>
      </c>
      <c r="F5" s="14"/>
    </row>
    <row r="6" customFormat="false" ht="15" hidden="false" customHeight="false" outlineLevel="0" collapsed="false">
      <c r="A6" s="14" t="s">
        <v>88</v>
      </c>
      <c r="B6" s="14" t="s">
        <v>89</v>
      </c>
      <c r="C6" s="14" t="s">
        <v>91</v>
      </c>
      <c r="D6" s="15" t="n">
        <v>39.9</v>
      </c>
      <c r="E6" s="14" t="s">
        <v>117</v>
      </c>
      <c r="F6" s="14" t="s">
        <v>90</v>
      </c>
    </row>
    <row r="7" customFormat="false" ht="23.85" hidden="false" customHeight="false" outlineLevel="0" collapsed="false">
      <c r="A7" s="30" t="s">
        <v>122</v>
      </c>
      <c r="B7" s="30"/>
      <c r="C7" s="30"/>
      <c r="D7" s="31" t="n">
        <f aca="false">SUM(D4:D6)</f>
        <v>189.96</v>
      </c>
      <c r="E7" s="30"/>
      <c r="F7" s="30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5"/>
    <col collapsed="false" customWidth="true" hidden="false" outlineLevel="0" max="8" min="8" style="0" width="12"/>
  </cols>
  <sheetData>
    <row r="1" customFormat="false" ht="19.7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124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2" t="s">
        <v>2</v>
      </c>
      <c r="B3" s="32" t="s">
        <v>125</v>
      </c>
      <c r="C3" s="32" t="s">
        <v>3</v>
      </c>
      <c r="D3" s="32" t="s">
        <v>126</v>
      </c>
      <c r="E3" s="32" t="s">
        <v>121</v>
      </c>
      <c r="F3" s="32" t="s">
        <v>127</v>
      </c>
      <c r="G3" s="32" t="s">
        <v>4</v>
      </c>
      <c r="H3" s="32" t="s">
        <v>108</v>
      </c>
    </row>
    <row r="4" customFormat="false" ht="23.85" hidden="false" customHeight="false" outlineLevel="0" collapsed="false">
      <c r="A4" s="8" t="s">
        <v>18</v>
      </c>
      <c r="B4" s="8" t="s">
        <v>29</v>
      </c>
      <c r="C4" s="8" t="s">
        <v>25</v>
      </c>
      <c r="D4" s="8" t="s">
        <v>28</v>
      </c>
      <c r="E4" s="9" t="n">
        <v>4711</v>
      </c>
      <c r="F4" s="8"/>
      <c r="G4" s="8" t="s">
        <v>26</v>
      </c>
      <c r="H4" s="8" t="s">
        <v>116</v>
      </c>
    </row>
    <row r="5" customFormat="false" ht="23.85" hidden="false" customHeight="false" outlineLevel="0" collapsed="false">
      <c r="A5" s="8" t="s">
        <v>18</v>
      </c>
      <c r="B5" s="8" t="s">
        <v>35</v>
      </c>
      <c r="C5" s="8" t="s">
        <v>30</v>
      </c>
      <c r="D5" s="8" t="s">
        <v>33</v>
      </c>
      <c r="E5" s="9" t="n">
        <v>50</v>
      </c>
      <c r="F5" s="8"/>
      <c r="G5" s="8" t="s">
        <v>31</v>
      </c>
      <c r="H5" s="8" t="s">
        <v>116</v>
      </c>
    </row>
    <row r="6" customFormat="false" ht="15" hidden="false" customHeight="false" outlineLevel="0" collapsed="false">
      <c r="A6" s="8" t="s">
        <v>18</v>
      </c>
      <c r="B6" s="8" t="s">
        <v>35</v>
      </c>
      <c r="C6" s="8" t="s">
        <v>36</v>
      </c>
      <c r="D6" s="8" t="s">
        <v>39</v>
      </c>
      <c r="E6" s="9" t="n">
        <v>7000</v>
      </c>
      <c r="F6" s="8" t="s">
        <v>128</v>
      </c>
      <c r="G6" s="8" t="s">
        <v>37</v>
      </c>
      <c r="H6" s="8" t="s">
        <v>116</v>
      </c>
    </row>
    <row r="7" customFormat="false" ht="23.85" hidden="false" customHeight="false" outlineLevel="0" collapsed="false">
      <c r="A7" s="8" t="s">
        <v>51</v>
      </c>
      <c r="B7" s="8" t="s">
        <v>56</v>
      </c>
      <c r="C7" s="8" t="s">
        <v>52</v>
      </c>
      <c r="D7" s="8" t="s">
        <v>55</v>
      </c>
      <c r="E7" s="9" t="n">
        <v>770</v>
      </c>
      <c r="F7" s="8"/>
      <c r="G7" s="8" t="s">
        <v>53</v>
      </c>
      <c r="H7" s="8" t="s">
        <v>117</v>
      </c>
    </row>
    <row r="8" customFormat="false" ht="23.85" hidden="false" customHeight="false" outlineLevel="0" collapsed="false">
      <c r="A8" s="8" t="s">
        <v>51</v>
      </c>
      <c r="B8" s="8" t="s">
        <v>60</v>
      </c>
      <c r="C8" s="8" t="s">
        <v>57</v>
      </c>
      <c r="D8" s="8" t="s">
        <v>39</v>
      </c>
      <c r="E8" s="9" t="n">
        <v>6358</v>
      </c>
      <c r="F8" s="8" t="s">
        <v>128</v>
      </c>
      <c r="G8" s="8" t="s">
        <v>58</v>
      </c>
      <c r="H8" s="8" t="s">
        <v>117</v>
      </c>
    </row>
    <row r="9" customFormat="false" ht="15" hidden="false" customHeight="false" outlineLevel="0" collapsed="false">
      <c r="A9" s="8" t="s">
        <v>84</v>
      </c>
      <c r="B9" s="8" t="s">
        <v>86</v>
      </c>
      <c r="C9" s="8" t="s">
        <v>85</v>
      </c>
      <c r="D9" s="8"/>
      <c r="E9" s="9" t="n">
        <v>1020</v>
      </c>
      <c r="F9" s="8"/>
      <c r="G9" s="8"/>
      <c r="H9" s="8" t="s">
        <v>117</v>
      </c>
    </row>
    <row r="10" customFormat="false" ht="15" hidden="false" customHeight="false" outlineLevel="0" collapsed="false">
      <c r="A10" s="8" t="s">
        <v>87</v>
      </c>
      <c r="B10" s="8" t="s">
        <v>86</v>
      </c>
      <c r="C10" s="8" t="s">
        <v>85</v>
      </c>
      <c r="D10" s="8"/>
      <c r="E10" s="9" t="n">
        <v>420</v>
      </c>
      <c r="F10" s="8"/>
      <c r="G10" s="8"/>
      <c r="H10" s="8" t="s">
        <v>117</v>
      </c>
    </row>
    <row r="11" customFormat="false" ht="15" hidden="false" customHeight="false" outlineLevel="0" collapsed="false">
      <c r="A11" s="8" t="s">
        <v>88</v>
      </c>
      <c r="B11" s="8" t="s">
        <v>86</v>
      </c>
      <c r="C11" s="8" t="s">
        <v>85</v>
      </c>
      <c r="D11" s="8"/>
      <c r="E11" s="9" t="n">
        <v>400</v>
      </c>
      <c r="F11" s="8"/>
      <c r="G11" s="8"/>
      <c r="H11" s="8" t="s">
        <v>117</v>
      </c>
    </row>
    <row r="12" customFormat="false" ht="23.85" hidden="false" customHeight="false" outlineLevel="0" collapsed="false">
      <c r="A12" s="8" t="s">
        <v>98</v>
      </c>
      <c r="B12" s="8" t="s">
        <v>35</v>
      </c>
      <c r="C12" s="8" t="s">
        <v>30</v>
      </c>
      <c r="D12" s="8" t="s">
        <v>33</v>
      </c>
      <c r="E12" s="9" t="n">
        <v>200</v>
      </c>
      <c r="F12" s="8"/>
      <c r="G12" s="8" t="s">
        <v>31</v>
      </c>
      <c r="H12" s="8" t="s">
        <v>117</v>
      </c>
    </row>
    <row r="13" customFormat="false" ht="15" hidden="false" customHeight="false" outlineLevel="0" collapsed="false">
      <c r="A13" s="8" t="s">
        <v>100</v>
      </c>
      <c r="B13" s="8" t="s">
        <v>35</v>
      </c>
      <c r="C13" s="8" t="s">
        <v>102</v>
      </c>
      <c r="D13" s="8"/>
      <c r="E13" s="9" t="n">
        <v>1100</v>
      </c>
      <c r="F13" s="8"/>
      <c r="G13" s="8"/>
      <c r="H13" s="8" t="s">
        <v>117</v>
      </c>
    </row>
    <row r="14" customFormat="false" ht="15" hidden="false" customHeight="false" outlineLevel="0" collapsed="false">
      <c r="A14" s="33" t="s">
        <v>129</v>
      </c>
      <c r="B14" s="33"/>
      <c r="C14" s="33"/>
      <c r="D14" s="33"/>
      <c r="E14" s="34" t="n">
        <f aca="false">SUM(E4:E13)</f>
        <v>22029</v>
      </c>
      <c r="F14" s="33"/>
      <c r="G14" s="33"/>
      <c r="H14" s="3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5"/>
    <col collapsed="false" customWidth="true" hidden="false" outlineLevel="0" max="5" min="5" style="0" width="12"/>
    <col collapsed="false" customWidth="true" hidden="false" outlineLevel="0" max="6" min="6" style="0" width="35"/>
    <col collapsed="false" customWidth="true" hidden="false" outlineLevel="0" max="7" min="7" style="0" width="12"/>
  </cols>
  <sheetData>
    <row r="1" customFormat="false" ht="19.7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131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5" t="s">
        <v>2</v>
      </c>
      <c r="B3" s="35" t="s">
        <v>125</v>
      </c>
      <c r="C3" s="35" t="s">
        <v>3</v>
      </c>
      <c r="D3" s="35" t="s">
        <v>132</v>
      </c>
      <c r="E3" s="35" t="s">
        <v>121</v>
      </c>
      <c r="F3" s="35" t="s">
        <v>4</v>
      </c>
      <c r="G3" s="35" t="s">
        <v>108</v>
      </c>
    </row>
    <row r="4" customFormat="false" ht="23.85" hidden="false" customHeight="false" outlineLevel="0" collapsed="false">
      <c r="A4" s="6" t="s">
        <v>18</v>
      </c>
      <c r="B4" s="6" t="s">
        <v>24</v>
      </c>
      <c r="C4" s="6" t="s">
        <v>19</v>
      </c>
      <c r="D4" s="6" t="s">
        <v>22</v>
      </c>
      <c r="E4" s="27" t="n">
        <v>6940</v>
      </c>
      <c r="F4" s="6" t="s">
        <v>20</v>
      </c>
      <c r="G4" s="6" t="s">
        <v>116</v>
      </c>
    </row>
    <row r="5" customFormat="false" ht="15" hidden="false" customHeight="false" outlineLevel="0" collapsed="false">
      <c r="A5" s="12" t="s">
        <v>40</v>
      </c>
      <c r="B5" s="12" t="s">
        <v>42</v>
      </c>
      <c r="C5" s="12" t="s">
        <v>41</v>
      </c>
      <c r="D5" s="12"/>
      <c r="E5" s="13" t="n">
        <v>106.9</v>
      </c>
      <c r="F5" s="12"/>
      <c r="G5" s="12" t="s">
        <v>116</v>
      </c>
    </row>
    <row r="6" customFormat="false" ht="15" hidden="false" customHeight="false" outlineLevel="0" collapsed="false">
      <c r="A6" s="12" t="s">
        <v>75</v>
      </c>
      <c r="B6" s="12" t="s">
        <v>83</v>
      </c>
      <c r="C6" s="12" t="s">
        <v>78</v>
      </c>
      <c r="D6" s="12" t="s">
        <v>81</v>
      </c>
      <c r="E6" s="13" t="n">
        <v>3350</v>
      </c>
      <c r="F6" s="12" t="s">
        <v>79</v>
      </c>
      <c r="G6" s="12" t="s">
        <v>117</v>
      </c>
    </row>
    <row r="7" customFormat="false" ht="15" hidden="false" customHeight="false" outlineLevel="0" collapsed="false">
      <c r="A7" s="36" t="s">
        <v>133</v>
      </c>
      <c r="B7" s="36"/>
      <c r="C7" s="36"/>
      <c r="D7" s="36"/>
      <c r="E7" s="37" t="n">
        <f aca="false">SUM(E4:E6)</f>
        <v>10396.9</v>
      </c>
      <c r="F7" s="36"/>
      <c r="G7" s="36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5"/>
    <col collapsed="false" customWidth="true" hidden="false" outlineLevel="0" max="4" min="4" style="0" width="12"/>
  </cols>
  <sheetData>
    <row r="1" customFormat="false" ht="19.7" hidden="false" customHeight="true" outlineLevel="0" collapsed="false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135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6.85" hidden="false" customHeight="false" outlineLevel="0" collapsed="false">
      <c r="A3" s="3" t="s">
        <v>136</v>
      </c>
      <c r="B3" s="3" t="s">
        <v>137</v>
      </c>
      <c r="C3" s="3" t="s">
        <v>138</v>
      </c>
      <c r="D3" s="3" t="s">
        <v>112</v>
      </c>
    </row>
    <row r="4" customFormat="false" ht="15" hidden="false" customHeight="false" outlineLevel="0" collapsed="false">
      <c r="A4" s="8" t="s">
        <v>39</v>
      </c>
      <c r="B4" s="9" t="n">
        <v>13358</v>
      </c>
      <c r="C4" s="9" t="n">
        <v>0</v>
      </c>
      <c r="D4" s="8" t="n">
        <v>2</v>
      </c>
    </row>
    <row r="5" customFormat="false" ht="15" hidden="false" customHeight="false" outlineLevel="0" collapsed="false">
      <c r="A5" s="38" t="s">
        <v>14</v>
      </c>
      <c r="B5" s="39" t="n">
        <v>0</v>
      </c>
      <c r="C5" s="39" t="n">
        <v>9393.16</v>
      </c>
      <c r="D5" s="38" t="n">
        <v>19</v>
      </c>
    </row>
    <row r="6" customFormat="false" ht="15" hidden="false" customHeight="false" outlineLevel="0" collapsed="false">
      <c r="A6" s="38" t="s">
        <v>22</v>
      </c>
      <c r="B6" s="39" t="n">
        <v>0</v>
      </c>
      <c r="C6" s="39" t="n">
        <v>6940</v>
      </c>
      <c r="D6" s="38" t="n">
        <v>1</v>
      </c>
    </row>
    <row r="7" customFormat="false" ht="15" hidden="false" customHeight="false" outlineLevel="0" collapsed="false">
      <c r="A7" s="8" t="s">
        <v>28</v>
      </c>
      <c r="B7" s="9" t="n">
        <v>4711</v>
      </c>
      <c r="C7" s="9" t="n">
        <v>0</v>
      </c>
      <c r="D7" s="8" t="n">
        <v>1</v>
      </c>
    </row>
    <row r="8" customFormat="false" ht="15" hidden="false" customHeight="false" outlineLevel="0" collapsed="false">
      <c r="A8" s="38" t="s">
        <v>62</v>
      </c>
      <c r="B8" s="39" t="n">
        <v>0</v>
      </c>
      <c r="C8" s="39" t="n">
        <v>4604</v>
      </c>
      <c r="D8" s="38" t="n">
        <v>2</v>
      </c>
    </row>
    <row r="9" customFormat="false" ht="15" hidden="false" customHeight="false" outlineLevel="0" collapsed="false">
      <c r="A9" s="8" t="s">
        <v>71</v>
      </c>
      <c r="B9" s="9" t="n">
        <v>3550</v>
      </c>
      <c r="C9" s="9" t="n">
        <v>0</v>
      </c>
      <c r="D9" s="8" t="n">
        <v>1</v>
      </c>
    </row>
    <row r="10" customFormat="false" ht="15" hidden="false" customHeight="false" outlineLevel="0" collapsed="false">
      <c r="A10" s="38" t="s">
        <v>81</v>
      </c>
      <c r="B10" s="39" t="n">
        <v>0</v>
      </c>
      <c r="C10" s="39" t="n">
        <v>3350</v>
      </c>
      <c r="D10" s="38" t="n">
        <v>1</v>
      </c>
    </row>
    <row r="11" customFormat="false" ht="15" hidden="false" customHeight="false" outlineLevel="0" collapsed="false">
      <c r="A11" s="8" t="s">
        <v>85</v>
      </c>
      <c r="B11" s="9" t="n">
        <v>1840</v>
      </c>
      <c r="C11" s="9" t="n">
        <v>0</v>
      </c>
      <c r="D11" s="8" t="n">
        <v>3</v>
      </c>
    </row>
    <row r="12" customFormat="false" ht="15" hidden="false" customHeight="false" outlineLevel="0" collapsed="false">
      <c r="A12" s="8" t="s">
        <v>102</v>
      </c>
      <c r="B12" s="9" t="n">
        <v>1100</v>
      </c>
      <c r="C12" s="9" t="n">
        <v>0</v>
      </c>
      <c r="D12" s="8" t="n">
        <v>1</v>
      </c>
    </row>
    <row r="13" customFormat="false" ht="15" hidden="false" customHeight="false" outlineLevel="0" collapsed="false">
      <c r="A13" s="38" t="s">
        <v>101</v>
      </c>
      <c r="B13" s="39" t="n">
        <v>0</v>
      </c>
      <c r="C13" s="39" t="n">
        <v>1054.26</v>
      </c>
      <c r="D13" s="38" t="n">
        <v>3</v>
      </c>
    </row>
    <row r="14" customFormat="false" ht="15" hidden="false" customHeight="false" outlineLevel="0" collapsed="false">
      <c r="A14" s="8" t="s">
        <v>55</v>
      </c>
      <c r="B14" s="9" t="n">
        <v>770</v>
      </c>
      <c r="C14" s="9" t="n">
        <v>0</v>
      </c>
      <c r="D14" s="8" t="n">
        <v>1</v>
      </c>
    </row>
    <row r="15" customFormat="false" ht="15" hidden="false" customHeight="false" outlineLevel="0" collapsed="false">
      <c r="A15" s="8" t="s">
        <v>33</v>
      </c>
      <c r="B15" s="9" t="n">
        <v>250</v>
      </c>
      <c r="C15" s="9" t="n">
        <v>0</v>
      </c>
      <c r="D15" s="8" t="n">
        <v>2</v>
      </c>
    </row>
    <row r="16" customFormat="false" ht="15" hidden="false" customHeight="false" outlineLevel="0" collapsed="false">
      <c r="A16" s="38" t="s">
        <v>41</v>
      </c>
      <c r="B16" s="39" t="n">
        <v>0</v>
      </c>
      <c r="C16" s="39" t="n">
        <v>106.9</v>
      </c>
      <c r="D16" s="38" t="n">
        <v>1</v>
      </c>
    </row>
    <row r="17" customFormat="false" ht="15" hidden="false" customHeight="false" outlineLevel="0" collapsed="false">
      <c r="A17" s="38" t="s">
        <v>76</v>
      </c>
      <c r="B17" s="39" t="n">
        <v>0</v>
      </c>
      <c r="C17" s="39" t="n">
        <v>95.76</v>
      </c>
      <c r="D17" s="38" t="n">
        <v>1</v>
      </c>
    </row>
    <row r="18" customFormat="false" ht="15" hidden="false" customHeight="false" outlineLevel="0" collapsed="false">
      <c r="A18" s="38" t="s">
        <v>47</v>
      </c>
      <c r="B18" s="39" t="n">
        <v>0</v>
      </c>
      <c r="C18" s="39" t="n">
        <v>54.3</v>
      </c>
      <c r="D18" s="38" t="n">
        <v>1</v>
      </c>
    </row>
    <row r="19" customFormat="false" ht="15" hidden="false" customHeight="false" outlineLevel="0" collapsed="false">
      <c r="A19" s="38" t="s">
        <v>92</v>
      </c>
      <c r="B19" s="39" t="n">
        <v>0</v>
      </c>
      <c r="C19" s="39" t="n">
        <v>39.9</v>
      </c>
      <c r="D19" s="38" t="n">
        <v>1</v>
      </c>
    </row>
    <row r="20" customFormat="false" ht="15" hidden="false" customHeight="false" outlineLevel="0" collapsed="false">
      <c r="A20" s="38" t="s">
        <v>65</v>
      </c>
      <c r="B20" s="39" t="n">
        <v>0</v>
      </c>
      <c r="C20" s="39" t="n">
        <v>22</v>
      </c>
      <c r="D20" s="38" t="n">
        <v>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35"/>
  </cols>
  <sheetData>
    <row r="1" customFormat="false" ht="19.7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2" t="s">
        <v>2</v>
      </c>
      <c r="B3" s="32" t="s">
        <v>125</v>
      </c>
      <c r="C3" s="32" t="s">
        <v>141</v>
      </c>
      <c r="D3" s="32" t="s">
        <v>121</v>
      </c>
      <c r="E3" s="32" t="s">
        <v>142</v>
      </c>
      <c r="F3" s="32" t="s">
        <v>108</v>
      </c>
      <c r="G3" s="32" t="s">
        <v>4</v>
      </c>
    </row>
    <row r="4" customFormat="false" ht="23.85" hidden="false" customHeight="false" outlineLevel="0" collapsed="false">
      <c r="A4" s="8" t="s">
        <v>18</v>
      </c>
      <c r="B4" s="8" t="s">
        <v>29</v>
      </c>
      <c r="C4" s="8" t="s">
        <v>28</v>
      </c>
      <c r="D4" s="9" t="n">
        <v>4711</v>
      </c>
      <c r="E4" s="8" t="s">
        <v>143</v>
      </c>
      <c r="F4" s="8" t="s">
        <v>116</v>
      </c>
      <c r="G4" s="8" t="s">
        <v>26</v>
      </c>
    </row>
    <row r="5" customFormat="false" ht="23.85" hidden="false" customHeight="false" outlineLevel="0" collapsed="false">
      <c r="A5" s="8" t="s">
        <v>51</v>
      </c>
      <c r="B5" s="8" t="s">
        <v>56</v>
      </c>
      <c r="C5" s="8" t="s">
        <v>55</v>
      </c>
      <c r="D5" s="9" t="n">
        <v>770</v>
      </c>
      <c r="E5" s="8" t="s">
        <v>143</v>
      </c>
      <c r="F5" s="8" t="s">
        <v>117</v>
      </c>
      <c r="G5" s="8" t="s">
        <v>53</v>
      </c>
    </row>
    <row r="6" customFormat="false" ht="23.85" hidden="false" customHeight="false" outlineLevel="0" collapsed="false">
      <c r="A6" s="8" t="s">
        <v>51</v>
      </c>
      <c r="B6" s="8" t="s">
        <v>60</v>
      </c>
      <c r="C6" s="8" t="s">
        <v>39</v>
      </c>
      <c r="D6" s="9" t="n">
        <v>6358</v>
      </c>
      <c r="E6" s="8" t="s">
        <v>144</v>
      </c>
      <c r="F6" s="8" t="s">
        <v>117</v>
      </c>
      <c r="G6" s="8" t="s">
        <v>58</v>
      </c>
    </row>
    <row r="7" customFormat="false" ht="15" hidden="false" customHeight="false" outlineLevel="0" collapsed="false">
      <c r="A7" s="33" t="s">
        <v>105</v>
      </c>
      <c r="B7" s="33"/>
      <c r="C7" s="33"/>
      <c r="D7" s="34" t="n">
        <f aca="false">SUM(D4:D6)</f>
        <v>11839</v>
      </c>
      <c r="E7" s="33"/>
      <c r="F7" s="33"/>
      <c r="G7" s="3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19.7" hidden="false" customHeight="true" outlineLevel="0" collapsed="false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40" t="s">
        <v>147</v>
      </c>
      <c r="B3" s="40" t="s">
        <v>148</v>
      </c>
      <c r="C3" s="40" t="s">
        <v>149</v>
      </c>
      <c r="D3" s="40" t="s">
        <v>121</v>
      </c>
      <c r="E3" s="40" t="s">
        <v>150</v>
      </c>
      <c r="F3" s="40" t="s">
        <v>151</v>
      </c>
      <c r="G3" s="40" t="s">
        <v>4</v>
      </c>
    </row>
    <row r="4" customFormat="false" ht="15" hidden="false" customHeight="false" outlineLevel="0" collapsed="false">
      <c r="A4" s="6" t="s">
        <v>63</v>
      </c>
      <c r="B4" s="6" t="s">
        <v>61</v>
      </c>
      <c r="C4" s="6" t="s">
        <v>68</v>
      </c>
      <c r="D4" s="7" t="n">
        <v>3550</v>
      </c>
      <c r="E4" s="6" t="s">
        <v>152</v>
      </c>
      <c r="F4" s="41" t="s">
        <v>153</v>
      </c>
      <c r="G4" s="6"/>
    </row>
    <row r="5" customFormat="false" ht="15" hidden="false" customHeight="false" outlineLevel="0" collapsed="false">
      <c r="A5" s="17" t="s">
        <v>93</v>
      </c>
      <c r="B5" s="17" t="s">
        <v>88</v>
      </c>
      <c r="C5" s="17" t="s">
        <v>154</v>
      </c>
      <c r="D5" s="18" t="n">
        <v>1054</v>
      </c>
      <c r="E5" s="17" t="s">
        <v>155</v>
      </c>
      <c r="F5" s="17" t="s">
        <v>156</v>
      </c>
      <c r="G5" s="1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19.7" hidden="false" customHeight="true" outlineLevel="0" collapsed="false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158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42" t="s">
        <v>2</v>
      </c>
      <c r="B3" s="42" t="s">
        <v>159</v>
      </c>
      <c r="C3" s="42" t="s">
        <v>5</v>
      </c>
      <c r="D3" s="42" t="s">
        <v>121</v>
      </c>
      <c r="E3" s="42" t="s">
        <v>108</v>
      </c>
    </row>
    <row r="4" customFormat="false" ht="15" hidden="false" customHeight="false" outlineLevel="0" collapsed="false">
      <c r="A4" s="14" t="s">
        <v>61</v>
      </c>
      <c r="B4" s="14" t="s">
        <v>65</v>
      </c>
      <c r="C4" s="14" t="s">
        <v>66</v>
      </c>
      <c r="D4" s="15" t="n">
        <v>22</v>
      </c>
      <c r="E4" s="14" t="s">
        <v>117</v>
      </c>
    </row>
    <row r="5" customFormat="false" ht="15" hidden="false" customHeight="false" outlineLevel="0" collapsed="false">
      <c r="A5" s="43" t="s">
        <v>160</v>
      </c>
      <c r="B5" s="43"/>
      <c r="C5" s="43"/>
      <c r="D5" s="44" t="n">
        <f aca="false">SUM(D4:D4)</f>
        <v>22</v>
      </c>
      <c r="E5" s="4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55"/>
    <col collapsed="false" customWidth="true" hidden="false" outlineLevel="0" max="5" min="5" style="0" width="12"/>
  </cols>
  <sheetData>
    <row r="1" customFormat="false" ht="19.7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162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5" t="s">
        <v>163</v>
      </c>
      <c r="B3" s="35" t="s">
        <v>2</v>
      </c>
      <c r="C3" s="35" t="s">
        <v>121</v>
      </c>
      <c r="D3" s="35" t="s">
        <v>164</v>
      </c>
      <c r="E3" s="35" t="s">
        <v>165</v>
      </c>
    </row>
    <row r="4" customFormat="false" ht="23.85" hidden="false" customHeight="false" outlineLevel="0" collapsed="false">
      <c r="A4" s="6" t="s">
        <v>166</v>
      </c>
      <c r="B4" s="6" t="s">
        <v>18</v>
      </c>
      <c r="C4" s="7" t="n">
        <v>6940</v>
      </c>
      <c r="D4" s="6" t="s">
        <v>167</v>
      </c>
      <c r="E4" s="41" t="s">
        <v>168</v>
      </c>
    </row>
    <row r="5" customFormat="false" ht="23.85" hidden="false" customHeight="false" outlineLevel="0" collapsed="false">
      <c r="A5" s="6" t="s">
        <v>169</v>
      </c>
      <c r="B5" s="6" t="s">
        <v>68</v>
      </c>
      <c r="C5" s="7" t="n">
        <v>3550</v>
      </c>
      <c r="D5" s="6" t="s">
        <v>170</v>
      </c>
      <c r="E5" s="41" t="s">
        <v>168</v>
      </c>
    </row>
    <row r="6" customFormat="false" ht="23.85" hidden="false" customHeight="false" outlineLevel="0" collapsed="false">
      <c r="A6" s="14" t="s">
        <v>171</v>
      </c>
      <c r="B6" s="14" t="s">
        <v>96</v>
      </c>
      <c r="C6" s="15" t="n">
        <v>-122.7</v>
      </c>
      <c r="D6" s="14" t="s">
        <v>172</v>
      </c>
      <c r="E6" s="14" t="s">
        <v>173</v>
      </c>
    </row>
    <row r="7" customFormat="false" ht="15" hidden="false" customHeight="false" outlineLevel="0" collapsed="false">
      <c r="A7" s="14" t="s">
        <v>171</v>
      </c>
      <c r="B7" s="14" t="s">
        <v>50</v>
      </c>
      <c r="C7" s="15" t="n">
        <v>-52.97</v>
      </c>
      <c r="D7" s="14" t="s">
        <v>174</v>
      </c>
      <c r="E7" s="14" t="s">
        <v>173</v>
      </c>
    </row>
    <row r="8" customFormat="false" ht="23.85" hidden="false" customHeight="false" outlineLevel="0" collapsed="false">
      <c r="A8" s="12" t="s">
        <v>175</v>
      </c>
      <c r="B8" s="12" t="s">
        <v>100</v>
      </c>
      <c r="C8" s="13" t="n">
        <v>1054.56</v>
      </c>
      <c r="D8" s="12" t="s">
        <v>176</v>
      </c>
      <c r="E8" s="12" t="s">
        <v>177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5"/>
    <col collapsed="false" customWidth="true" hidden="false" outlineLevel="0" max="5" min="5" style="0" width="70"/>
  </cols>
  <sheetData>
    <row r="1" customFormat="false" ht="30" hidden="false" customHeight="true" outlineLevel="0" collapsed="false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179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180</v>
      </c>
      <c r="B3" s="3" t="s">
        <v>181</v>
      </c>
      <c r="C3" s="3" t="s">
        <v>182</v>
      </c>
      <c r="D3" s="3" t="s">
        <v>183</v>
      </c>
      <c r="E3" s="3" t="s">
        <v>184</v>
      </c>
    </row>
    <row r="4" customFormat="false" ht="54.75" hidden="false" customHeight="true" outlineLevel="0" collapsed="false">
      <c r="A4" s="45" t="s">
        <v>185</v>
      </c>
      <c r="B4" s="45" t="s">
        <v>24</v>
      </c>
      <c r="C4" s="46" t="s">
        <v>168</v>
      </c>
      <c r="D4" s="45" t="s">
        <v>186</v>
      </c>
      <c r="E4" s="45" t="s">
        <v>187</v>
      </c>
      <c r="F4" s="47"/>
      <c r="G4" s="47"/>
      <c r="H4" s="47"/>
      <c r="I4" s="47"/>
      <c r="J4" s="47"/>
    </row>
    <row r="5" customFormat="false" ht="54.75" hidden="false" customHeight="true" outlineLevel="0" collapsed="false">
      <c r="A5" s="45" t="s">
        <v>188</v>
      </c>
      <c r="B5" s="45" t="s">
        <v>145</v>
      </c>
      <c r="C5" s="46" t="s">
        <v>168</v>
      </c>
      <c r="D5" s="45" t="s">
        <v>189</v>
      </c>
      <c r="E5" s="45" t="s">
        <v>190</v>
      </c>
      <c r="F5" s="47"/>
      <c r="G5" s="47"/>
      <c r="H5" s="47"/>
      <c r="I5" s="47"/>
      <c r="J5" s="47"/>
    </row>
    <row r="6" customFormat="false" ht="54.75" hidden="false" customHeight="true" outlineLevel="0" collapsed="false">
      <c r="A6" s="45" t="s">
        <v>191</v>
      </c>
      <c r="B6" s="45" t="s">
        <v>192</v>
      </c>
      <c r="C6" s="46" t="s">
        <v>168</v>
      </c>
      <c r="D6" s="45" t="s">
        <v>193</v>
      </c>
      <c r="E6" s="45" t="s">
        <v>194</v>
      </c>
      <c r="F6" s="47"/>
      <c r="G6" s="47"/>
      <c r="H6" s="47"/>
      <c r="I6" s="47"/>
      <c r="J6" s="47"/>
    </row>
    <row r="7" customFormat="false" ht="54.75" hidden="false" customHeight="true" outlineLevel="0" collapsed="false">
      <c r="A7" s="48" t="s">
        <v>195</v>
      </c>
      <c r="B7" s="48" t="s">
        <v>16</v>
      </c>
      <c r="C7" s="48" t="s">
        <v>173</v>
      </c>
      <c r="D7" s="48" t="s">
        <v>196</v>
      </c>
      <c r="E7" s="48" t="s">
        <v>197</v>
      </c>
      <c r="F7" s="47"/>
      <c r="G7" s="47"/>
      <c r="H7" s="47"/>
      <c r="I7" s="47"/>
      <c r="J7" s="47"/>
    </row>
    <row r="8" customFormat="false" ht="54.75" hidden="false" customHeight="true" outlineLevel="0" collapsed="false">
      <c r="A8" s="48" t="s">
        <v>198</v>
      </c>
      <c r="B8" s="48" t="s">
        <v>199</v>
      </c>
      <c r="C8" s="48" t="s">
        <v>173</v>
      </c>
      <c r="D8" s="48" t="s">
        <v>200</v>
      </c>
      <c r="E8" s="48" t="s">
        <v>201</v>
      </c>
      <c r="F8" s="47"/>
      <c r="G8" s="47"/>
      <c r="H8" s="47"/>
      <c r="I8" s="47"/>
      <c r="J8" s="47"/>
    </row>
    <row r="9" customFormat="false" ht="54.75" hidden="false" customHeight="true" outlineLevel="0" collapsed="false">
      <c r="A9" s="49" t="s">
        <v>202</v>
      </c>
      <c r="B9" s="49" t="s">
        <v>118</v>
      </c>
      <c r="C9" s="49" t="s">
        <v>177</v>
      </c>
      <c r="D9" s="49" t="s">
        <v>203</v>
      </c>
      <c r="E9" s="49" t="s">
        <v>204</v>
      </c>
      <c r="F9" s="47"/>
      <c r="G9" s="47"/>
      <c r="H9" s="47"/>
      <c r="I9" s="47"/>
      <c r="J9" s="47"/>
    </row>
    <row r="10" customFormat="false" ht="54.75" hidden="false" customHeight="true" outlineLevel="0" collapsed="false">
      <c r="A10" s="49" t="s">
        <v>205</v>
      </c>
      <c r="B10" s="49" t="s">
        <v>206</v>
      </c>
      <c r="C10" s="49" t="s">
        <v>177</v>
      </c>
      <c r="D10" s="49" t="s">
        <v>207</v>
      </c>
      <c r="E10" s="49" t="s">
        <v>208</v>
      </c>
      <c r="F10" s="47"/>
      <c r="G10" s="47"/>
      <c r="H10" s="47"/>
      <c r="I10" s="47"/>
      <c r="J10" s="4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2026-06-18T15:15:42Z</dcterms:created>
  <dc:creator>openpyxl</dc:creator>
  <dc:description/>
  <dc:language>en-US</dc:language>
  <cp:lastModifiedBy/>
  <dcterms:modified xsi:type="dcterms:W3CDTF">2026-06-18T15:15:42Z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